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10" yWindow="555" windowWidth="27735" windowHeight="13950"/>
  </bookViews>
  <sheets>
    <sheet name="시트1" sheetId="1" r:id="rId1"/>
  </sheets>
  <calcPr calcId="145621"/>
</workbook>
</file>

<file path=xl/calcChain.xml><?xml version="1.0" encoding="utf-8"?>
<calcChain xmlns="http://schemas.openxmlformats.org/spreadsheetml/2006/main">
  <c r="E26" i="1" l="1"/>
  <c r="D21" i="1"/>
  <c r="F15" i="1"/>
  <c r="E10" i="1"/>
  <c r="D5" i="1"/>
  <c r="E25" i="1"/>
  <c r="E9" i="1"/>
  <c r="F8" i="1"/>
  <c r="D26" i="1"/>
  <c r="F20" i="1"/>
  <c r="E15" i="1"/>
  <c r="D10" i="1"/>
  <c r="F4" i="1"/>
  <c r="E4" i="1"/>
  <c r="D20" i="1"/>
  <c r="D4" i="1"/>
  <c r="E3" i="1"/>
  <c r="F25" i="1"/>
  <c r="E20" i="1"/>
  <c r="D15" i="1"/>
  <c r="F9" i="1"/>
  <c r="F14" i="1"/>
  <c r="D25" i="1"/>
  <c r="F19" i="1"/>
  <c r="E14" i="1"/>
  <c r="D9" i="1"/>
  <c r="F3" i="1"/>
  <c r="F24" i="1"/>
  <c r="E19" i="1"/>
  <c r="D14" i="1"/>
  <c r="E24" i="1"/>
  <c r="D19" i="1"/>
  <c r="F13" i="1"/>
  <c r="E8" i="1"/>
  <c r="D3" i="1"/>
  <c r="D24" i="1"/>
  <c r="F18" i="1"/>
  <c r="E13" i="1"/>
  <c r="D8" i="1"/>
  <c r="F2" i="1"/>
  <c r="F23" i="1"/>
  <c r="E18" i="1"/>
  <c r="D13" i="1"/>
  <c r="F7" i="1"/>
  <c r="E23" i="1"/>
  <c r="D18" i="1"/>
  <c r="F12" i="1"/>
  <c r="E7" i="1"/>
  <c r="D2" i="1"/>
  <c r="D23" i="1"/>
  <c r="F17" i="1"/>
  <c r="E12" i="1"/>
  <c r="D7" i="1"/>
  <c r="E17" i="1"/>
  <c r="D12" i="1"/>
  <c r="F6" i="1"/>
  <c r="D6" i="1"/>
  <c r="F22" i="1"/>
  <c r="E22" i="1"/>
  <c r="D17" i="1"/>
  <c r="F11" i="1"/>
  <c r="E6" i="1"/>
  <c r="F16" i="1"/>
  <c r="E11" i="1"/>
  <c r="F10" i="1"/>
  <c r="D22" i="1"/>
  <c r="F21" i="1"/>
  <c r="E16" i="1"/>
  <c r="D11" i="1"/>
  <c r="F5" i="1"/>
  <c r="F26" i="1"/>
  <c r="E21" i="1"/>
  <c r="D16" i="1"/>
  <c r="E5" i="1"/>
  <c r="E2" i="1"/>
</calcChain>
</file>

<file path=xl/sharedStrings.xml><?xml version="1.0" encoding="utf-8"?>
<sst xmlns="http://schemas.openxmlformats.org/spreadsheetml/2006/main" count="8" uniqueCount="8">
  <si>
    <t>구분</t>
  </si>
  <si>
    <t>도메인</t>
  </si>
  <si>
    <t>url</t>
  </si>
  <si>
    <t>헤드라인</t>
  </si>
  <si>
    <t>기사원문 URL</t>
  </si>
  <si>
    <t>기사내용</t>
  </si>
  <si>
    <t>정치</t>
  </si>
  <si>
    <t>https://www.yna.co.kr/politics/all</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</si>
</sst>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rgb="FF000000"/>
      <name val="Arial"/>
      <scheme val="minor"/>
    </font>
    <font>
      <sz val="10"/>
      <color theme="1"/>
      <name val="Arial"/>
      <scheme val="minor"/>
    </font>
    <font>
      <u/>
      <sz val="10"/>
      <color rgb="FF0000FF"/>
      <name val="Arial"/>
    </font>
    <font>
      <u/>
      <sz val="10"/>
      <color rgb="FF0000FF"/>
      <name val="Arial"/>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applyAlignment="1"/>
    <xf numFmtId="0" fontId="2" fillId="0" borderId="0" xfId="0" applyFont="1" applyAlignment="1"/>
    <xf numFmtId="0" fontId="1" fillId="0" borderId="0" xfId="0" applyFont="1"/>
    <xf numFmtId="0" fontId="3" fillId="0" borderId="0" xfId="0" applyFont="1"/>
    <xf numFmtId="0" fontId="1" fillId="0" borderId="0" xfId="0" applyFont="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na.co.kr/view/AKR20260912040300001?section=politics/all" TargetMode="External"/><Relationship Id="rId13" Type="http://schemas.openxmlformats.org/officeDocument/2006/relationships/hyperlink" Target="https://www.yna.co.kr/view/AKR20260911163300004?section=politics/all" TargetMode="External"/><Relationship Id="rId18" Type="http://schemas.openxmlformats.org/officeDocument/2006/relationships/hyperlink" Target="https://www.yna.co.kr/view/AKR20260912035351001?section=politics/all" TargetMode="External"/><Relationship Id="rId26" Type="http://schemas.openxmlformats.org/officeDocument/2006/relationships/printerSettings" Target="../printerSettings/printerSettings1.bin"/><Relationship Id="rId3" Type="http://schemas.openxmlformats.org/officeDocument/2006/relationships/hyperlink" Target="https://www.yna.co.kr/view/AKR20260911028800052?section=politics/all" TargetMode="External"/><Relationship Id="rId21" Type="http://schemas.openxmlformats.org/officeDocument/2006/relationships/hyperlink" Target="https://www.yna.co.kr/view/AKR20260912042400001?section=politics/all" TargetMode="External"/><Relationship Id="rId7" Type="http://schemas.openxmlformats.org/officeDocument/2006/relationships/hyperlink" Target="https://www.yna.co.kr/view/AKR20260911111100065?section=politics/all" TargetMode="External"/><Relationship Id="rId12" Type="http://schemas.openxmlformats.org/officeDocument/2006/relationships/hyperlink" Target="https://www.yna.co.kr/view/AKR20260911154200001?section=politics/all" TargetMode="External"/><Relationship Id="rId17" Type="http://schemas.openxmlformats.org/officeDocument/2006/relationships/hyperlink" Target="https://www.yna.co.kr/view/AKR20260911114200001?section=politics/all" TargetMode="External"/><Relationship Id="rId25" Type="http://schemas.openxmlformats.org/officeDocument/2006/relationships/hyperlink" Target="https://www.yna.co.kr/view/AKR20260912036700004?section=politics/all" TargetMode="External"/><Relationship Id="rId2" Type="http://schemas.openxmlformats.org/officeDocument/2006/relationships/hyperlink" Target="https://www.yna.co.kr/view/AKR20260912051000001?section=politics/all" TargetMode="External"/><Relationship Id="rId16" Type="http://schemas.openxmlformats.org/officeDocument/2006/relationships/hyperlink" Target="https://www.yna.co.kr/view/AKR20260912036800001?section=politics/all" TargetMode="External"/><Relationship Id="rId20" Type="http://schemas.openxmlformats.org/officeDocument/2006/relationships/hyperlink" Target="https://www.yna.co.kr/view/AKR20260912043600001?section=politics/all" TargetMode="External"/><Relationship Id="rId1" Type="http://schemas.openxmlformats.org/officeDocument/2006/relationships/hyperlink" Target="https://www.yna.co.kr/politics/all" TargetMode="External"/><Relationship Id="rId6" Type="http://schemas.openxmlformats.org/officeDocument/2006/relationships/hyperlink" Target="https://www.yna.co.kr/view/AKR20260912042300004?section=politics/all" TargetMode="External"/><Relationship Id="rId11" Type="http://schemas.openxmlformats.org/officeDocument/2006/relationships/hyperlink" Target="https://www.yna.co.kr/view/AKR20260911099200063?section=politics/all" TargetMode="External"/><Relationship Id="rId24" Type="http://schemas.openxmlformats.org/officeDocument/2006/relationships/hyperlink" Target="https://www.yna.co.kr/view/AKR20260912037100001?section=politics/all" TargetMode="External"/><Relationship Id="rId5" Type="http://schemas.openxmlformats.org/officeDocument/2006/relationships/hyperlink" Target="https://www.yna.co.kr/view/AKR20260910117300073?section=politics/all" TargetMode="External"/><Relationship Id="rId15" Type="http://schemas.openxmlformats.org/officeDocument/2006/relationships/hyperlink" Target="https://www.yna.co.kr/view/AKR20260912045800001?section=politics/all" TargetMode="External"/><Relationship Id="rId23" Type="http://schemas.openxmlformats.org/officeDocument/2006/relationships/hyperlink" Target="https://www.yna.co.kr/view/AKR20260912036251073?section=politics/all" TargetMode="External"/><Relationship Id="rId10" Type="http://schemas.openxmlformats.org/officeDocument/2006/relationships/hyperlink" Target="https://www.yna.co.kr/view/AKR20260911128000530?section=politics/all" TargetMode="External"/><Relationship Id="rId19" Type="http://schemas.openxmlformats.org/officeDocument/2006/relationships/hyperlink" Target="https://www.yna.co.kr/view/AKR20260912023151054?section=politics/all" TargetMode="External"/><Relationship Id="rId4" Type="http://schemas.openxmlformats.org/officeDocument/2006/relationships/hyperlink" Target="https://www.yna.co.kr/view/AKR20260911115600001?section=politics/all" TargetMode="External"/><Relationship Id="rId9" Type="http://schemas.openxmlformats.org/officeDocument/2006/relationships/hyperlink" Target="https://www.yna.co.kr/view/AKR20260911164000001?section=politics/all" TargetMode="External"/><Relationship Id="rId14" Type="http://schemas.openxmlformats.org/officeDocument/2006/relationships/hyperlink" Target="https://www.yna.co.kr/view/AKR20260912044200002?section=politics/all" TargetMode="External"/><Relationship Id="rId22" Type="http://schemas.openxmlformats.org/officeDocument/2006/relationships/hyperlink" Target="https://www.yna.co.kr/view/AKR20260912038200001?section=politics/a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6"/>
  <sheetViews>
    <sheetView tabSelected="1" workbookViewId="0"/>
  </sheetViews>
  <sheetFormatPr defaultColWidth="12.5703125" defaultRowHeight="15.75" customHeight="1" x14ac:dyDescent="0.2"/>
  <cols>
    <col min="3" max="3" width="56.28515625" customWidth="1"/>
    <col min="4" max="5" width="54.42578125" customWidth="1"/>
    <col min="6" max="6" width="25.28515625" customWidth="1"/>
    <col min="7" max="7" width="18.85546875" customWidth="1"/>
    <col min="8" max="8" width="15.5703125" customWidth="1"/>
    <col min="9" max="9" width="14.140625" customWidth="1"/>
  </cols>
  <sheetData>
    <row r="1" spans="1:6" x14ac:dyDescent="0.2">
      <c r="A1" s="1" t="s">
        <v>0</v>
      </c>
      <c r="B1" s="1" t="s">
        <v>1</v>
      </c>
      <c r="C1" s="1" t="s">
        <v>2</v>
      </c>
      <c r="D1" s="1" t="s">
        <v>3</v>
      </c>
      <c r="E1" s="1" t="s">
        <v>4</v>
      </c>
      <c r="F1" s="1" t="s">
        <v>5</v>
      </c>
    </row>
    <row r="2" spans="1:6" x14ac:dyDescent="0.2">
      <c r="A2" s="1">
        <v>1</v>
      </c>
      <c r="B2" s="1" t="s">
        <v>6</v>
      </c>
      <c r="C2" s="2" t="s">
        <v>7</v>
      </c>
      <c r="D2" s="3" t="str">
        <f ca="1">IFERROR(__xludf.DUMMYFUNCTION("importxml(C2,""//*[@id='container']/div[2]/div[2]/div[1]/section/div/ul/li/div/div/strong"")"),"권오을 ""민주유공자법 조속 통과돼야…희생·공헌에 예우를""")</f>
        <v>권오을 "민주유공자법 조속 통과돼야…희생·공헌에 예우를"</v>
      </c>
      <c r="E2" s="4" t="str">
        <f ca="1">IFERROR(__xludf.DUMMYFUNCTION("importxml(C2,""//*[@id='container']/div[2]/div[2]/div[1]/section/div/ul/li/div/div/strong/a/@href"")"),"https://www.yna.co.kr/view/AKR20260913019300504?section=politics/all")</f>
        <v>https://www.yna.co.kr/view/AKR20260913019300504?section=politics/all</v>
      </c>
      <c r="F2" s="3" t="str">
        <f ca="1">IFERROR(__xludf.DUMMYFUNCTION("TEXTJOIN("" "", TRUE, IMPORTXML(E2, ""//*[@id='articleWrap']//p""))"),"권오을 국가보훈부 장관이 지난 12일 오전 경기도 이천시 민주화운동기념공원에서 열린 2026년 민주화운동기념공원 합동추모제에 참석 
추모사를 하고 있다. [국가보훈부 제공]  (서울=연합뉴스) 김효정 기자 = 권오을 국가보훈부 장관이 민주화운동기념공원 합동추모제에 참석해 국회 본회의에 계류된 민주유공자법의 
조속한 통과 필요성을 강조했다.  13일 국가보훈부에 따르면 권 장관은 전날 경기도 이천시 민주화운동기념공원 민주광장에서 열린 '2026년 민주화운"&amp;"동기념공원 
합동추모제'에 참석해 헌화·분향하고 추모사를 했다.  권 장관은 이 자리에서 ""오늘의 우리가 당연하게 누리고 있는 민주주의는 두려움 속에서도 불의에 맞서고, 자신의 안위보다 우리 사회의 
내일을 선택하셨던 민주열사들이 계셨기 때문""이라고 강조했다.  그러면서 ""민주유공자법이 조속히 통과되어 그 고귀한 희생과 공헌에 대한 예우가 이루어질 수 있기를 기대한다""고 밝혔다.  국가보훈부 장관이 민주화운동기념공원 합동추모제에 참여한 것은 이번"&amp;"이 처음으로 알려졌다.   권 장관은 추모제 후 전태일, 박종철 열사 등 민주화운동 관련 인사들이 안장된 경기도 남양주시 마석 모란공원을 찾아 헌화·참배하기도 
했다. 권오을 국가보훈부 장관이 지난 12일 오후 경기도 남양주시 모란공원을 방문, 공원내 민주열사 묘역에서 헌화 및 참배를 하고 있다. 
[국가보훈부 제공]  민주유공자법(민주유공자 예우에 관한 법률안)은 민주화운동 사망·행방불명·부상자에 대한 예우로 의료·양로·요양지원 등을 펴는 내용이다. "&amp;"
민주화보상법 또는 부마항쟁보상법에 따라 인정된 사망자·행방불명자와 장해등급을 받은 부상자 635명이 대상이다.  지난해 9월 더불어민주당 주도로 패스트트랙(신속처리안건) 법안으로 지정됐고 올해 3월 국회 법제사법위원회 문턱을 넘어 본회의 통과를 
앞두고 있다.  권 장관은 올해 5월 기자간담회에서 민주유공자법에 대해 ""이분들이 대한민국 민주화, 6·10 항쟁의 기폭제가 됐다""며 ""하반기 국회가 
구성되면 가장 우선순위로 처리하려고 한다""고 강조"&amp;"한 바 있다.  kimhyoj@yna.co.kr 제보는 카카오톡 okjebo &lt;저작권자(c) 연합뉴스, 무단 전재-재배포, AI 학습 및 활용 금지&gt; 2026/09/13 10:10 송고2026년09월13일 10시10분 송고")</f>
        <v>권오을 국가보훈부 장관이 지난 12일 오전 경기도 이천시 민주화운동기념공원에서 열린 2026년 민주화운동기념공원 합동추모제에 참석 
추모사를 하고 있다. [국가보훈부 제공]  (서울=연합뉴스) 김효정 기자 = 권오을 국가보훈부 장관이 민주화운동기념공원 합동추모제에 참석해 국회 본회의에 계류된 민주유공자법의 
조속한 통과 필요성을 강조했다.  13일 국가보훈부에 따르면 권 장관은 전날 경기도 이천시 민주화운동기념공원 민주광장에서 열린 '2026년 민주화운동기념공원 
합동추모제'에 참석해 헌화·분향하고 추모사를 했다.  권 장관은 이 자리에서 "오늘의 우리가 당연하게 누리고 있는 민주주의는 두려움 속에서도 불의에 맞서고, 자신의 안위보다 우리 사회의 
내일을 선택하셨던 민주열사들이 계셨기 때문"이라고 강조했다.  그러면서 "민주유공자법이 조속히 통과되어 그 고귀한 희생과 공헌에 대한 예우가 이루어질 수 있기를 기대한다"고 밝혔다.  국가보훈부 장관이 민주화운동기념공원 합동추모제에 참여한 것은 이번이 처음으로 알려졌다.   권 장관은 추모제 후 전태일, 박종철 열사 등 민주화운동 관련 인사들이 안장된 경기도 남양주시 마석 모란공원을 찾아 헌화·참배하기도 
했다. 권오을 국가보훈부 장관이 지난 12일 오후 경기도 남양주시 모란공원을 방문, 공원내 민주열사 묘역에서 헌화 및 참배를 하고 있다. 
[국가보훈부 제공]  민주유공자법(민주유공자 예우에 관한 법률안)은 민주화운동 사망·행방불명·부상자에 대한 예우로 의료·양로·요양지원 등을 펴는 내용이다. 
민주화보상법 또는 부마항쟁보상법에 따라 인정된 사망자·행방불명자와 장해등급을 받은 부상자 635명이 대상이다.  지난해 9월 더불어민주당 주도로 패스트트랙(신속처리안건) 법안으로 지정됐고 올해 3월 국회 법제사법위원회 문턱을 넘어 본회의 통과를 
앞두고 있다.  권 장관은 올해 5월 기자간담회에서 민주유공자법에 대해 "이분들이 대한민국 민주화, 6·10 항쟁의 기폭제가 됐다"며 "하반기 국회가 
구성되면 가장 우선순위로 처리하려고 한다"고 강조한 바 있다.  kimhyoj@yna.co.kr 제보는 카카오톡 okjebo &lt;저작권자(c) 연합뉴스, 무단 전재-재배포, AI 학습 및 활용 금지&gt; 2026/09/13 10:10 송고2026년09월13일 10시10분 송고</v>
      </c>
    </row>
    <row r="3" spans="1:6" x14ac:dyDescent="0.2">
      <c r="C3" s="5"/>
      <c r="D3" s="3" t="str">
        <f ca="1">IFERROR(__xludf.DUMMYFUNCTION("""COMPUTED_VALUE"""),"진종오, '중수청 퇴직 공무원 전관예우 방지법' 발의")</f>
        <v>진종오, '중수청 퇴직 공무원 전관예우 방지법' 발의</v>
      </c>
      <c r="E3" s="4" t="str">
        <f ca="1">IFERROR(__xludf.DUMMYFUNCTION("""COMPUTED_VALUE"""),"https://www.yna.co.kr/view/AKR20260912051000001?section=politics/all")</f>
        <v>https://www.yna.co.kr/view/AKR20260912051000001?section=politics/all</v>
      </c>
      <c r="F3" s="3" t="str">
        <f ca="1">IFERROR(__xludf.DUMMYFUNCTION("TEXTJOIN("" "", TRUE, IMPORTXML(E3, ""//*[@id='articleWrap']//p""))"),"[연합뉴스 자료사진]  (서울=연합뉴스) 김연정 기자 = 국민의힘 진종오 의원은 13일 다음 달 중대범죄수사청(중수청)의 출범을 앞두고 중수청 퇴직 공무원의 
전관예우를 방지하기 위해 '중대범죄수사청 조직 및 운영에 관한 법률 개정안'을 대표 발의한다고 밝혔다.  개정안은 중수청장 및 중수청 소속 공무원이 퇴직한 경우 일정 기간 재직 중 관여했거나 중수청이 처리한 사건 등의 수임을 제한하고, 
이를 위반할 경우 제재할 수 있는 근거를 마련하도록 하는 내"&amp;"용이 골자다.  검찰의 수사·기소 기능을 분리하는 이른바 '검찰 개혁'이 추진됨에 따라 중수청이 다음 달 2일 출범해 
부패·경제·방위산업·마약·내란·외환·사이버범죄 등 중대범죄 수사를 전담할 예정인 가운데, 현행법에는 변호사 자격을 가진 중수청 소속 
공무원들이 퇴직한 뒤 재직 중 관여했던 사건이나 중수청이 처리한 사건을 수임하는 것을 제한하는 규정이 없는 상태다.  진 의원은 ""검찰의 전관예우를 비판하면서 새로 만드는 수사 기관에는 아무런 방지 장"&amp;"치도 두지 않는 건 앞뒤가 맞지 않는다""며 ""막대한 
수사권을 가진 중수청이 퇴직자의 새로운 전관예우 통로로 악용될 가능성은 출범 전부터 차단해야 한다""고 법안 발의 배경을 설명했다.   yjkim84@yna.co.kr 제보는 카카오톡 okjebo &lt;저작권자(c) 연합뉴스, 무단 전재-재배포, AI 학습 및 활용 금지&gt; 2026/09/13 09:29 송고2026년09월13일 09시29분 송고")</f>
        <v>[연합뉴스 자료사진]  (서울=연합뉴스) 김연정 기자 = 국민의힘 진종오 의원은 13일 다음 달 중대범죄수사청(중수청)의 출범을 앞두고 중수청 퇴직 공무원의 
전관예우를 방지하기 위해 '중대범죄수사청 조직 및 운영에 관한 법률 개정안'을 대표 발의한다고 밝혔다.  개정안은 중수청장 및 중수청 소속 공무원이 퇴직한 경우 일정 기간 재직 중 관여했거나 중수청이 처리한 사건 등의 수임을 제한하고, 
이를 위반할 경우 제재할 수 있는 근거를 마련하도록 하는 내용이 골자다.  검찰의 수사·기소 기능을 분리하는 이른바 '검찰 개혁'이 추진됨에 따라 중수청이 다음 달 2일 출범해 
부패·경제·방위산업·마약·내란·외환·사이버범죄 등 중대범죄 수사를 전담할 예정인 가운데, 현행법에는 변호사 자격을 가진 중수청 소속 
공무원들이 퇴직한 뒤 재직 중 관여했던 사건이나 중수청이 처리한 사건을 수임하는 것을 제한하는 규정이 없는 상태다.  진 의원은 "검찰의 전관예우를 비판하면서 새로 만드는 수사 기관에는 아무런 방지 장치도 두지 않는 건 앞뒤가 맞지 않는다"며 "막대한 
수사권을 가진 중수청이 퇴직자의 새로운 전관예우 통로로 악용될 가능성은 출범 전부터 차단해야 한다"고 법안 발의 배경을 설명했다.   yjkim84@yna.co.kr 제보는 카카오톡 okjebo &lt;저작권자(c) 연합뉴스, 무단 전재-재배포, AI 학습 및 활용 금지&gt; 2026/09/13 09:29 송고2026년09월13일 09시29분 송고</v>
      </c>
    </row>
    <row r="4" spans="1:6" x14ac:dyDescent="0.2">
      <c r="D4" s="3" t="str">
        <f ca="1">IFERROR(__xludf.DUMMYFUNCTION("""COMPUTED_VALUE"""),"민주당 늘어난 경남도의회, 민선 9기 인사청문 기능 강화 전망")</f>
        <v>민주당 늘어난 경남도의회, 민선 9기 인사청문 기능 강화 전망</v>
      </c>
      <c r="E4" s="4" t="str">
        <f ca="1">IFERROR(__xludf.DUMMYFUNCTION("""COMPUTED_VALUE"""),"https://www.yna.co.kr/view/AKR20260911028800052?section=politics/all")</f>
        <v>https://www.yna.co.kr/view/AKR20260911028800052?section=politics/all</v>
      </c>
      <c r="F4" s="3" t="str">
        <f ca="1">IFERROR(__xludf.DUMMYFUNCTION("TEXTJOIN("" "", TRUE, IMPORTXML(E4, ""//*[@id='articleWrap']//p""))"),"[경남도의회 제공. 재판매 및 DB 금지]  (창원=연합뉴스) 이정훈 기자 = 민선 9기 출범 이후 13대 경남도의회 인사청문 기능이 국민의힘이 절대 다수당이었던 직전 의회 
때보다 강화될 것으로 보인다.  13일 도의회에 따르면 경제환경위원회는 제436회 정례회 기간인 오는 15일 이효근 경남신용보증재단 이사장 임용후보자, 오는 16일 
박태훈 경남로봇랜드재단 원장 임용후보자를 대상으로 인사청문회를 개최한다.  도는 공모를 거쳐 2023년 1월부터 지"&amp;"난 6월까지 경남신용보증재단 이사장으로 근무한 이효근 씨를 다시 이사장 임용후보자로 결정했다.  또 지난 6월 말 임기가 끝난 최원기 전 원장을 대신해 박태훈 전 경남무역 대표를 신임 경남로봇랜드재단 원장 임용후보자로 뽑았다.  13대 도의회는 전체 도의원 68명 중 국민의힘 44명, 더불어민주당 23명, 무소속 1명으로 국민의힘이 다수당이다.  그러나 전체 의원 64명 중 민주당 의원이 4명에 불과해 국민의힘이 절대 다수당이었던 직전 의회보다 민주당 "&amp;"의원 수가 크게 늘면서 
국민의힘 소속 박완수 지사가 임용하는 기관장 후보를 대상으로 직무수행능력, 자질, 도덕성 등을 더 철저히 검증할 분위기가 만들어졌다.  김경수 도의회 민주당 대표의원은 ""박완수 지사가 역량이 되지 않거나 도덕성에 문제가 있는 사람을 공공기관장으로 앉히는 보은 인사를 
하는지 꼼꼼히 살펴보겠다""며 ""문제점이 있으면 매섭게 지적하고 도민들에게 알리겠다""고 말했다.  도의회는 경남신용보증재단·경남로봇랜드재단 기관장 임용후보자를"&amp;" 시작으로 하반기 줄줄이 인사청문을 진행한다.  경남도 인사청문회 조례는 도 산하 공기업·출자출연기관 17곳 중 정원 100명 이상이거나 연간 예산이 300억원을 넘는 9곳을 도의회 
소관 상임위원회가 실시하는 기관장 인사 청문 대상 기관으로 규정한다.  9곳 중 기관장 자리가 비어 있거나 민선 8기 종료와 함께 임기가 끝난 
경남신용보증재단·경남로봇랜드재단·경남테크노파크·경남문화예술진흥원·경남투자경제진흥원 등 5곳이 민선 9기 첫해 인사 청문 대상이 "&amp;"된다.  현재 공모 절차가 진행 중이거나 곧 공모를 시작하는 경남테크노파크·경남문화예술진흥원·경남투자경제진흥원 기관장 임용후보자 인사청문회는 
10월 임시회 또는 11∼12월 정례회 기간 열린다.  도의회는 경남신용보증재단·경남로봇랜드재단 기관장 임용후보자를 대상으로 자질이나 흠결·위법 등이 없는지 도민 제보를 받고 있다.  seaman@yna.co.kr 제보는 카카오톡 okjebo &lt;저작권자(c) 연합뉴스, 무단 전재-재배포, AI 학습 및 활용 금지"&amp;"&gt; 2026/09/13 09:15 송고2026년09월13일 09시15분 송고")</f>
        <v>[경남도의회 제공. 재판매 및 DB 금지]  (창원=연합뉴스) 이정훈 기자 = 민선 9기 출범 이후 13대 경남도의회 인사청문 기능이 국민의힘이 절대 다수당이었던 직전 의회 
때보다 강화될 것으로 보인다.  13일 도의회에 따르면 경제환경위원회는 제436회 정례회 기간인 오는 15일 이효근 경남신용보증재단 이사장 임용후보자, 오는 16일 
박태훈 경남로봇랜드재단 원장 임용후보자를 대상으로 인사청문회를 개최한다.  도는 공모를 거쳐 2023년 1월부터 지난 6월까지 경남신용보증재단 이사장으로 근무한 이효근 씨를 다시 이사장 임용후보자로 결정했다.  또 지난 6월 말 임기가 끝난 최원기 전 원장을 대신해 박태훈 전 경남무역 대표를 신임 경남로봇랜드재단 원장 임용후보자로 뽑았다.  13대 도의회는 전체 도의원 68명 중 국민의힘 44명, 더불어민주당 23명, 무소속 1명으로 국민의힘이 다수당이다.  그러나 전체 의원 64명 중 민주당 의원이 4명에 불과해 국민의힘이 절대 다수당이었던 직전 의회보다 민주당 의원 수가 크게 늘면서 
국민의힘 소속 박완수 지사가 임용하는 기관장 후보를 대상으로 직무수행능력, 자질, 도덕성 등을 더 철저히 검증할 분위기가 만들어졌다.  김경수 도의회 민주당 대표의원은 "박완수 지사가 역량이 되지 않거나 도덕성에 문제가 있는 사람을 공공기관장으로 앉히는 보은 인사를 
하는지 꼼꼼히 살펴보겠다"며 "문제점이 있으면 매섭게 지적하고 도민들에게 알리겠다"고 말했다.  도의회는 경남신용보증재단·경남로봇랜드재단 기관장 임용후보자를 시작으로 하반기 줄줄이 인사청문을 진행한다.  경남도 인사청문회 조례는 도 산하 공기업·출자출연기관 17곳 중 정원 100명 이상이거나 연간 예산이 300억원을 넘는 9곳을 도의회 
소관 상임위원회가 실시하는 기관장 인사 청문 대상 기관으로 규정한다.  9곳 중 기관장 자리가 비어 있거나 민선 8기 종료와 함께 임기가 끝난 
경남신용보증재단·경남로봇랜드재단·경남테크노파크·경남문화예술진흥원·경남투자경제진흥원 등 5곳이 민선 9기 첫해 인사 청문 대상이 된다.  현재 공모 절차가 진행 중이거나 곧 공모를 시작하는 경남테크노파크·경남문화예술진흥원·경남투자경제진흥원 기관장 임용후보자 인사청문회는 
10월 임시회 또는 11∼12월 정례회 기간 열린다.  도의회는 경남신용보증재단·경남로봇랜드재단 기관장 임용후보자를 대상으로 자질이나 흠결·위법 등이 없는지 도민 제보를 받고 있다.  seaman@yna.co.kr 제보는 카카오톡 okjebo &lt;저작권자(c) 연합뉴스, 무단 전재-재배포, AI 학습 및 활용 금지&gt; 2026/09/13 09:15 송고2026년09월13일 09시15분 송고</v>
      </c>
    </row>
    <row r="5" spans="1:6" x14ac:dyDescent="0.2">
      <c r="D5" s="3" t="str">
        <f ca="1">IFERROR(__xludf.DUMMYFUNCTION("""COMPUTED_VALUE"""),"소장에 주소 비공개로' 등 가사사건 정보보호 신청 인용률 55%")</f>
        <v>소장에 주소 비공개로' 등 가사사건 정보보호 신청 인용률 55%</v>
      </c>
      <c r="E5" s="4" t="str">
        <f ca="1">IFERROR(__xludf.DUMMYFUNCTION("""COMPUTED_VALUE"""),"https://www.yna.co.kr/view/AKR20260911115600001?section=politics/all")</f>
        <v>https://www.yna.co.kr/view/AKR20260911115600001?section=politics/all</v>
      </c>
      <c r="F5" s="3" t="str">
        <f ca="1">IFERROR(__xludf.DUMMYFUNCTION("TEXTJOIN("" "", TRUE, IMPORTXML(E5, ""//*[@id='articleWrap']//p""))"),"[연합뉴스 자료사진]  (서울=연합뉴스) 최평천 기자 = 가사 사건 소송 당사자가 상대방에게 주소·연락처를 비공개해달라고 한 개인정보 보호 조치 신청의 법원 
인용률이 55%인 것으로 나타났다.  국회 법제사법위원회 소속 더불어민주당 박지원 의원이 13일 대법원으로부터 받은 자료에 따르면 제도가 시행된 지난해 7월부터 올해 6월 
30일까지 가사사건 재판기록 열람 등 제한 신청 건수는 970건이었다.  이 중 309건이 처리됐고, 처리된 사건의 55%인"&amp;" 170건이 인용됐다.  민사사건의 경우 1천827건이 접수됐고, 처리된 1천597건 중 1천34건(64.7%)이 인용됐다.  소송 중 주소·연락처 노출이 신변 안전 문제로 이어질 수도 있지만, 대법원은 주소·연락처 등 어떤 정보에 대한 보호 신청이 있었는지와 
이혼 사건의 보호 신청 건수 등 세부 통계를 관리하지 않았다고 박 의원은 지적했다.  이와 관련, 최근 경기 광주에서 남편이 이혼 소장에 적힌 주소를 보고 이혼 소송 중인 아내를 찾아가 살해하는"&amp;" 사건이 발생한 바 있다.  박 의원은 ""제도가 피해자를 얼마나 보호하고 있는지 제대로 점검할 수 있는 체계부터 갖춰야 한다""며 ""가정폭력 피해자에 대한 임시 
보호명령이나 피해자보호명령 등이 이미 내려진 경우 법원이 다른 소송에서도 개인정보 보호 의사를 확인하도록 하는 민사소송법 개정안을 
발의하겠다""고 밝혔다.  pc@yna.co.kr 제보는 카카오톡 okjebo &lt;저작권자(c) 연합뉴스, 무단 전재-재배포, AI 학습 및 활용 금지&gt; 202"&amp;"6/09/13 09:00 송고2026년09월13일 09시00분 송고")</f>
        <v>[연합뉴스 자료사진]  (서울=연합뉴스) 최평천 기자 = 가사 사건 소송 당사자가 상대방에게 주소·연락처를 비공개해달라고 한 개인정보 보호 조치 신청의 법원 
인용률이 55%인 것으로 나타났다.  국회 법제사법위원회 소속 더불어민주당 박지원 의원이 13일 대법원으로부터 받은 자료에 따르면 제도가 시행된 지난해 7월부터 올해 6월 
30일까지 가사사건 재판기록 열람 등 제한 신청 건수는 970건이었다.  이 중 309건이 처리됐고, 처리된 사건의 55%인 170건이 인용됐다.  민사사건의 경우 1천827건이 접수됐고, 처리된 1천597건 중 1천34건(64.7%)이 인용됐다.  소송 중 주소·연락처 노출이 신변 안전 문제로 이어질 수도 있지만, 대법원은 주소·연락처 등 어떤 정보에 대한 보호 신청이 있었는지와 
이혼 사건의 보호 신청 건수 등 세부 통계를 관리하지 않았다고 박 의원은 지적했다.  이와 관련, 최근 경기 광주에서 남편이 이혼 소장에 적힌 주소를 보고 이혼 소송 중인 아내를 찾아가 살해하는 사건이 발생한 바 있다.  박 의원은 "제도가 피해자를 얼마나 보호하고 있는지 제대로 점검할 수 있는 체계부터 갖춰야 한다"며 "가정폭력 피해자에 대한 임시 
보호명령이나 피해자보호명령 등이 이미 내려진 경우 법원이 다른 소송에서도 개인정보 보호 의사를 확인하도록 하는 민사소송법 개정안을 
발의하겠다"고 밝혔다.  pc@yna.co.kr 제보는 카카오톡 okjebo &lt;저작권자(c) 연합뉴스, 무단 전재-재배포, AI 학습 및 활용 금지&gt; 2026/09/13 09:00 송고2026년09월13일 09시00분 송고</v>
      </c>
    </row>
    <row r="6" spans="1:6" x14ac:dyDescent="0.2">
      <c r="D6" s="3" t="str">
        <f ca="1">IFERROR(__xludf.DUMMYFUNCTION("""COMPUTED_VALUE"""),"[한일 미래路] 학봉장학회 이사장 ""인구감소·돌봄, 함께 난제 풀어야""")</f>
        <v>[한일 미래路] 학봉장학회 이사장 "인구감소·돌봄, 함께 난제 풀어야"</v>
      </c>
      <c r="E6" s="4" t="str">
        <f ca="1">IFERROR(__xludf.DUMMYFUNCTION("""COMPUTED_VALUE"""),"https://www.yna.co.kr/view/AKR20260910117300073?section=politics/all")</f>
        <v>https://www.yna.co.kr/view/AKR20260910117300073?section=politics/all</v>
      </c>
      <c r="F6" s="3" t="str">
        <f ca="1">IFERROR(__xludf.DUMMYFUNCTION("TEXTJOIN("" "", TRUE, IMPORTXML(E6, ""//*[@id='articleWrap']//p""))")," [※ 편집자 주 = 국가기간뉴스통신사 연합뉴스가 오는 11월 3일 한일 간 공조를 주제로 '2026 미래경제포럼'을 개최합니다. 
급속히 블록화하는 글로벌 경제 지형 속에서 한일 양국이 초국가적 경제 공조를 이루는 방안을 논의합니다. 포럼에서는 오랜 기간 역사적 
대립 관계이던 프랑스와 독일이 손잡아 출범한 유럽연합(EU)이 막강한 경제 연합체로 자리매김한 것을 참고해 한일 양국이 단계적 협력 
체제를 만들고 경제공동체로까지 나아가는 방안을 타진하고자"&amp;" 합니다. 이에 연합뉴스는 포럼에 앞서 한일 양국에서 협력 활동에 몸담아온 각계 
인사들의 인터뷰를 매주 일요일 송고합니다.] (도쿄=연합뉴스) 이도연 특파원 = 이연현 학봉장학회 이사장이 지난 8일 연합뉴스와 인터뷰하고 있다. 2026.9.8  (도쿄=연합뉴스) 이도연 특파원 = ""한국과 일본은 지금 인구 감소, 초고령화, 돌봄 문제 등 같은 사회적 난제에 직면해 있습니다. 
이런 사회문제에 대한 한일 협동이 최우선이 돼야 한다고 생각합니다.""  "&amp;"최근 도쿄에서 만난 이연현 학봉장학회 이사장(와코물산 대표)은 이렇게 말했다.  그는 한일 양국이 미래를 향해 함께 나아가야 할 동반자라고 믿는다.  일본 도쿄에서 태어나 한국에서 대학을 졸업하고 20여년간 한국 기업에서 근무한 그는 자기 경험을 바탕으로 한일 양국 간 오해를 줄이고 
교류의 폭을 넓히는 데 앞장서고 있다.  이 이사장은 2005년 부친과 함께 '학봉장학회'를 설립하고 이후 사재를 털어가며 20년 넘게 이끌어왔다.  전남 화순 출신 부친"&amp;" 고(故) 이기학 회장은 일본에서 자수성가한 사업가로 30년 넘게 낡은 양복과 구두를 착용하면서도 고향의 인재 
양성에는 돈을 아끼지 않았다고 한다.  이 이사장은 ""그 모습을 지켜보다가 장학 사업을 조금 더 체계적으로 해보자고 제안해 장학회를 만들게 됐다""고 설명했다.  학봉장학회는 첫 수여식 이후 지금까지 3천672명에게 15억4천658만 원을 지급했다.  이 이사장도 지은 지 30년 가까이 된 30평 집에서 살며 중고 경차를 몬다. 그러면서도 "&amp;"더 많은 사람에게 더 많이 베푸는 것이 
보람이라고 말한다.   그는 ""보통 장학재단은 이자 수익으로 운영하지만, 우리는 재단의 운용수익보다 두 배 이상 많은 금액을 장학사업에 지출하고 있고, 
부족한 부분은 그때그때 사재를 털어 채우고 있다""며 ""돈이라는 것이 자기가 쓰고 싶은데 쓰는 것이지 않나""라고 말했다.  현재 학봉장학회는 단순한 장학금 지급을 넘어 비인가 대안학교, 장애인 교육기관인 '노들야학' 지원 등 제도권 밖의 교육과 학술·문화 "&amp;"
사업으로 영역을 확장했다. (도쿄=연합뉴스) 이도연 특파원 = 이연현 학봉장학회 이사장이 지난 8일 연합뉴스와 인터뷰하고 있다. 2026.9.8  이 이사장은 양국 언론인들의 유대와 소통에도 깊은 관심을 기울여 왔다.   2018년부터는 한국과 일본의 언론인, 전문가들이 매달 마지막 수요일 모여 한일 관계 및 사회 현안을 공부하는 스터디 모임 
'최수회'를 공동 조직해 이끌고 있다.   그는 ""한일 관계에 있어서 미디어의 역할은 누가 봐도 중요하다"&amp;"""며 ""양국 미디어 종사자들 사이에 유대관계가 있어야 한다고 생각하는데, 
시스템이 없어서 만들자고 생각했다""고 말했다.  오랜 비즈니스와 교류 사업 경험을 바탕으로 그는 한일 관계의 근본적인 문제점으로 '오해와 편견'을 꼽았다.  이 이사장은 ""한국 사람은 자신이 누구보다 일본을 잘 안다고 생각하고, 일본의 한국 전문가 역시 자신이 한국을 가장 잘 안다고 
착각한다""며 ""한국과 일본은 비슷한 나라이지만 동시에 다른 나라인데, 다 안다고 착각"&amp;"하는 데서 크나큰 오해와 편견이 생긴다""고 지적했다.  과거 비즈니스 현장에서는 양국의 다른 사고방식을 조율하는 역할을 도맡았다고 한다. 그때의 경험은 지금의 한일 교류 사업으로 자연스럽게 
이어졌다.  이 이사장은 현재의 한일 관계를 두고 정치·역사적 불안정성이 존재하지만, 한국의 발전과 세대교체가 맞물리며 긍정적인 전환점을 맞고 
있다고 진단했다.   특히 과거에는 관계 악화를 막기 위한 '방어적 노력'이 주를 이뤘다면, 이제는 대등해진 양국의 국"&amp;"력을 바탕으로 '적극적인 협력'이 
필수인 시대가 됐다고 강조했다.  무엇보다 그는 안보와 경제 분야를 넘어 저출산, 고령화, 젠더, 돌봄 등 공통의 사회문제 해결을 위한 연대가 한일 관계의 가장 탄탄한 
기반이 되어야 한다고 거듭 말했다.  이 이사장은 ""지방 소멸 문제에 대해 한국과 일본의 특정 지역이 손잡고 정책 실험을 해볼 수도 있고, 돌봄이나 청년 실업 문제에 공동 
노동 시장을 구축해 서로 보완할 수도 있다""며 세계 어느 곳보다 이 같은 "&amp;"위기를 먼저 겪고 있는 한국과 일본이 인류를 위해 선제적으로 
해답을 찾고 롤모델을 구축하는 것이 중요하다고 했다.  그는 이러한 구상을 실현하기 위해 현재 서울대학교 일본연구소와 손잡고 한일 양국의 공통 사회문제 해결을 위한 '공동 플랫폼' 구축을 
추진 중이다. 오는 10월에는 20년간 이어져 온 한일 정신장애인 교류 사례를 조명하는 심포지엄도 서울대에서 개최할 예정이다.  ""서로의 정보를 교환하는 다음 단계로 구체적인 실천 방안을 찾아보자는 취지"&amp;"입니다. 양국이 상호 보완적으로 손잡고 할 수 있는 일들이 
많으며, 그것이 바로 지금부터 우리가 해나가야 할 과제입니다.""  dylee@yna.co.kr 제보는 카카오톡 okjebo &lt;저작권자(c) 연합뉴스, 무단 전재-재배포, AI 학습 및 활용 금지&gt; 2026/09/13 08:00 송고2026년09월13일 08시00분 송고")</f>
        <v xml:space="preserve"> [※ 편집자 주 = 국가기간뉴스통신사 연합뉴스가 오는 11월 3일 한일 간 공조를 주제로 '2026 미래경제포럼'을 개최합니다. 
급속히 블록화하는 글로벌 경제 지형 속에서 한일 양국이 초국가적 경제 공조를 이루는 방안을 논의합니다. 포럼에서는 오랜 기간 역사적 
대립 관계이던 프랑스와 독일이 손잡아 출범한 유럽연합(EU)이 막강한 경제 연합체로 자리매김한 것을 참고해 한일 양국이 단계적 협력 
체제를 만들고 경제공동체로까지 나아가는 방안을 타진하고자 합니다. 이에 연합뉴스는 포럼에 앞서 한일 양국에서 협력 활동에 몸담아온 각계 
인사들의 인터뷰를 매주 일요일 송고합니다.] (도쿄=연합뉴스) 이도연 특파원 = 이연현 학봉장학회 이사장이 지난 8일 연합뉴스와 인터뷰하고 있다. 2026.9.8  (도쿄=연합뉴스) 이도연 특파원 = "한국과 일본은 지금 인구 감소, 초고령화, 돌봄 문제 등 같은 사회적 난제에 직면해 있습니다. 
이런 사회문제에 대한 한일 협동이 최우선이 돼야 한다고 생각합니다."  최근 도쿄에서 만난 이연현 학봉장학회 이사장(와코물산 대표)은 이렇게 말했다.  그는 한일 양국이 미래를 향해 함께 나아가야 할 동반자라고 믿는다.  일본 도쿄에서 태어나 한국에서 대학을 졸업하고 20여년간 한국 기업에서 근무한 그는 자기 경험을 바탕으로 한일 양국 간 오해를 줄이고 
교류의 폭을 넓히는 데 앞장서고 있다.  이 이사장은 2005년 부친과 함께 '학봉장학회'를 설립하고 이후 사재를 털어가며 20년 넘게 이끌어왔다.  전남 화순 출신 부친 고(故) 이기학 회장은 일본에서 자수성가한 사업가로 30년 넘게 낡은 양복과 구두를 착용하면서도 고향의 인재 
양성에는 돈을 아끼지 않았다고 한다.  이 이사장은 "그 모습을 지켜보다가 장학 사업을 조금 더 체계적으로 해보자고 제안해 장학회를 만들게 됐다"고 설명했다.  학봉장학회는 첫 수여식 이후 지금까지 3천672명에게 15억4천658만 원을 지급했다.  이 이사장도 지은 지 30년 가까이 된 30평 집에서 살며 중고 경차를 몬다. 그러면서도 더 많은 사람에게 더 많이 베푸는 것이 
보람이라고 말한다.   그는 "보통 장학재단은 이자 수익으로 운영하지만, 우리는 재단의 운용수익보다 두 배 이상 많은 금액을 장학사업에 지출하고 있고, 
부족한 부분은 그때그때 사재를 털어 채우고 있다"며 "돈이라는 것이 자기가 쓰고 싶은데 쓰는 것이지 않나"라고 말했다.  현재 학봉장학회는 단순한 장학금 지급을 넘어 비인가 대안학교, 장애인 교육기관인 '노들야학' 지원 등 제도권 밖의 교육과 학술·문화 
사업으로 영역을 확장했다. (도쿄=연합뉴스) 이도연 특파원 = 이연현 학봉장학회 이사장이 지난 8일 연합뉴스와 인터뷰하고 있다. 2026.9.8  이 이사장은 양국 언론인들의 유대와 소통에도 깊은 관심을 기울여 왔다.   2018년부터는 한국과 일본의 언론인, 전문가들이 매달 마지막 수요일 모여 한일 관계 및 사회 현안을 공부하는 스터디 모임 
'최수회'를 공동 조직해 이끌고 있다.   그는 "한일 관계에 있어서 미디어의 역할은 누가 봐도 중요하다"며 "양국 미디어 종사자들 사이에 유대관계가 있어야 한다고 생각하는데, 
시스템이 없어서 만들자고 생각했다"고 말했다.  오랜 비즈니스와 교류 사업 경험을 바탕으로 그는 한일 관계의 근본적인 문제점으로 '오해와 편견'을 꼽았다.  이 이사장은 "한국 사람은 자신이 누구보다 일본을 잘 안다고 생각하고, 일본의 한국 전문가 역시 자신이 한국을 가장 잘 안다고 
착각한다"며 "한국과 일본은 비슷한 나라이지만 동시에 다른 나라인데, 다 안다고 착각하는 데서 크나큰 오해와 편견이 생긴다"고 지적했다.  과거 비즈니스 현장에서는 양국의 다른 사고방식을 조율하는 역할을 도맡았다고 한다. 그때의 경험은 지금의 한일 교류 사업으로 자연스럽게 
이어졌다.  이 이사장은 현재의 한일 관계를 두고 정치·역사적 불안정성이 존재하지만, 한국의 발전과 세대교체가 맞물리며 긍정적인 전환점을 맞고 
있다고 진단했다.   특히 과거에는 관계 악화를 막기 위한 '방어적 노력'이 주를 이뤘다면, 이제는 대등해진 양국의 국력을 바탕으로 '적극적인 협력'이 
필수인 시대가 됐다고 강조했다.  무엇보다 그는 안보와 경제 분야를 넘어 저출산, 고령화, 젠더, 돌봄 등 공통의 사회문제 해결을 위한 연대가 한일 관계의 가장 탄탄한 
기반이 되어야 한다고 거듭 말했다.  이 이사장은 "지방 소멸 문제에 대해 한국과 일본의 특정 지역이 손잡고 정책 실험을 해볼 수도 있고, 돌봄이나 청년 실업 문제에 공동 
노동 시장을 구축해 서로 보완할 수도 있다"며 세계 어느 곳보다 이 같은 위기를 먼저 겪고 있는 한국과 일본이 인류를 위해 선제적으로 
해답을 찾고 롤모델을 구축하는 것이 중요하다고 했다.  그는 이러한 구상을 실현하기 위해 현재 서울대학교 일본연구소와 손잡고 한일 양국의 공통 사회문제 해결을 위한 '공동 플랫폼' 구축을 
추진 중이다. 오는 10월에는 20년간 이어져 온 한일 정신장애인 교류 사례를 조명하는 심포지엄도 서울대에서 개최할 예정이다.  "서로의 정보를 교환하는 다음 단계로 구체적인 실천 방안을 찾아보자는 취지입니다. 양국이 상호 보완적으로 손잡고 할 수 있는 일들이 
많으며, 그것이 바로 지금부터 우리가 해나가야 할 과제입니다."  dylee@yna.co.kr 제보는 카카오톡 okjebo &lt;저작권자(c) 연합뉴스, 무단 전재-재배포, AI 학습 및 활용 금지&gt; 2026/09/13 08:00 송고2026년09월13일 08시00분 송고</v>
      </c>
    </row>
    <row r="7" spans="1:6" x14ac:dyDescent="0.2">
      <c r="D7" s="3" t="str">
        <f ca="1">IFERROR(__xludf.DUMMYFUNCTION("""COMPUTED_VALUE"""),"호르무즈 파병 법적문제는…이라크땐 ""정치적 결단"" 헌소 각하")</f>
        <v>호르무즈 파병 법적문제는…이라크땐 "정치적 결단" 헌소 각하</v>
      </c>
      <c r="E7" s="4" t="str">
        <f ca="1">IFERROR(__xludf.DUMMYFUNCTION("""COMPUTED_VALUE"""),"https://www.yna.co.kr/view/AKR20260912042300004?section=politics/all")</f>
        <v>https://www.yna.co.kr/view/AKR20260912042300004?section=politics/all</v>
      </c>
      <c r="F7" s="3" t="str">
        <f ca="1">IFERROR(__xludf.DUMMYFUNCTION("TEXTJOIN("" "", TRUE, IMPORTXML(E7, ""//*[@id='articleWrap']//p""))"),"[연합뉴스 자료사진]  (서울=연합뉴스) 이승연 기자 = 미국과 이란의 전쟁이 계속되고 있는 호르무즈 해협에 정부가 국군 파병을 검토한다는 소식이 알려지면서 
파병과 관련한 과거 사법부 판단에도 관심이 쏠린다.  정부의 파병 결정이 법적 분쟁으로 번진 것은 20여년 전 노무현 정부의 이라크 파병 때였다.  당시 파병이 헌법에 부합하는지, 기본권을 침해하는지를 둘러싸고 논쟁이 벌어지면서 일반 시민부터, 정치인, 시민단체가 복수의 헌법 
소원을 제기했다. "&amp;" 결론적으로 헌법재판소는 이를 모두 각하했다.  국군 파병이 고도의 정치적 결단인 만큼 사법적 기준으로 이를 판단하는 것은 자제해야 한다는 취지였다. (서울=연합뉴스) 강민지 기자 = 호르무즈 파병 반대! 파병 강요 미국 반대 전국 대학생 비상대책위원회 소속 학생 등이 11일 서울 
관악구 서울대 행정관 앞에서 열린 기자회견에서 손팻말을 들고 있다. 2026.9.11 mjkang@yna.co.kr  13일 법조계에 따르면 2004년 4월 헌재는 한 시민"&amp;"이 이라크 전쟁 파병이 위헌임을 확인해달라며 낸 헌법소원을 각하했다.  청구인은 이라크 전쟁이 '침략 전쟁'이라며 우리 헌법에 어긋나고 국민의 행복 추구권을 침해한다는 주장을 펼쳤다.  헌법 5조 1항은 대한민국은 국제평화의 유지에 노력하고 침략적 전쟁을 부인한다고 정한다.  헌재는 ""외국에의 국군 파견 결정은 파견 군인의 생명·신체의 안전뿐만 아니라 국제 사회에서의 우리나라 지위와 역할, 동맹국과의 관계, 
국가 안보 등 국민 내지 국익에 영향을 미"&amp;"치는 복잡하고도 중요한 문제""라고 짚었다.  그러면서 ""우리나라의 바람직한 위치, 앞으로 나아가야 할 방향 등 미래를 예측하고 목표를 설정하는 등 고도의 정치적 결단이 요구되는 
사안""이라고 강조했다.  국민이 선출한 대통령에게 국군 통수권을 부여하면서도 국군 파병에 대해서는 국회의 동의를 받도록 한 것은 심도 있는 논의를 거쳐 신중히 
결정하는 것이 바람직하기 때문이라고 설명했다.  그러면서 ""한정된 자료만을 가지고 있는 우리 재판소가 판단하는"&amp;" 것은 바람직하지 않다고 할 것""이라며 ""우리 재판소가 사법적 기준만으로 
이를 심판하는 것은 자제되어야 한다""고 했다.  파병 결정의 위헌 여부, 국가 안보에 보탬이 되는지, 국제규범에 어긋나는 침략 전쟁인지 여부 등은 대통령과 국회가 판단해야 할 
몫이라는 것이다.  오랜 민주주의 전통을 가진 외국에서도 외교 및 국방과 관련된 정치적 결단에 대해서는 사법 심사를 자제하고 있다고도 덧붙였다.   설령 사법적 심사 회피로 대통령과 국회의 자의적 판"&amp;"단이 방치될 수 있다는 우려에 대해서도 헌재는 ""궁극적으로 선거를 통해 국민에 의한 
평가와 심판을 받게 될 것""이라고 밝혔다.  헌재의 이보다 앞서 2003년 12월에도 유사한 취지로 제기된 헌법소원에 대해 각하 결정을 내렸다.  민주사회를 위한 변호사모임(민변), 참여연대 등 시민단체와 권영길 전 민주노동당 대표, 현역 육군을 아들로 둔 어머니이 청구한 
사건이었다.  헌재는 이들이 파병 당사자가 아닌 만큼 직접적인 기본권 침해를 입지 않는다는 "&amp;"이유와 함께 고도의 정치적 결단은 존중돼야 한다며 판단 
이유를 설시했다. (서울=연합뉴스) 미국의 요청으로 호르무즈 해협 파병을 비롯한 군사적 기여 방안을 고심하는 한국 정부를 향해, 이란이 '미국의 압박에 
굴복하지 말라'는 취지의 이례적인 한글 공개 메시지를 내놨다.  사진은 에스마일 바가이 이란 외무부 대변인이 7일(현지시간) 소셜미디어 엑스(X) 계정에 올린 '위험한 선택에는 대가가 따른다'는 
경고성 메시지를 담은 사진. 2026.9.7 [바"&amp;"가이 대변인 엑스 계정 화면 캡처. 재판매 및 DB 금지] photo@yna.co.kr  전문가들은 호르무즈 해협 파병과 관련해 헌법소원이 제기되더라도 사법부가 신중한 태도를 유지해야 한다면서도, 청구인의 지위와 파병의 
구체적인 규모 및 성격, 무기의 체계에 따라 판단이 달라질 가능성을 배제할 수는 없다고 봤다.  지성우 성균관대 로스쿨 교수는 ""전면적인 전투병 파병과 같은 결정이 아닌 이상 사법부에서 판단을 자제하는 게 맞다고 본다""며 ""파병 "&amp;"
성격, 규모 등을 고려해 사법부가 개입할지 여부를 결정하게 될 것""이라고 했다.  헌법연구관 출신인 노희범 변호사도 ""파병 계획이 구체화되지 않은 만큼 쉽게 예단하기 어렵지만 국회의 파병 동의가 있다는 전제하에 파병 
군인의 가족이 헌법소원을 청구한다면 다른 판단이 있을 수도 있다""고 했다.  winkite@yna.co.kr 제보는 카카오톡 okjebo &lt;저작권자(c) 연합뉴스, 무단 전재-재배포, AI 학습 및 활용 금지&gt; 2026/09/13 "&amp;"08:00 송고2026년09월13일 08시00분 송고")</f>
        <v>[연합뉴스 자료사진]  (서울=연합뉴스) 이승연 기자 = 미국과 이란의 전쟁이 계속되고 있는 호르무즈 해협에 정부가 국군 파병을 검토한다는 소식이 알려지면서 
파병과 관련한 과거 사법부 판단에도 관심이 쏠린다.  정부의 파병 결정이 법적 분쟁으로 번진 것은 20여년 전 노무현 정부의 이라크 파병 때였다.  당시 파병이 헌법에 부합하는지, 기본권을 침해하는지를 둘러싸고 논쟁이 벌어지면서 일반 시민부터, 정치인, 시민단체가 복수의 헌법 
소원을 제기했다.  결론적으로 헌법재판소는 이를 모두 각하했다.  국군 파병이 고도의 정치적 결단인 만큼 사법적 기준으로 이를 판단하는 것은 자제해야 한다는 취지였다. (서울=연합뉴스) 강민지 기자 = 호르무즈 파병 반대! 파병 강요 미국 반대 전국 대학생 비상대책위원회 소속 학생 등이 11일 서울 
관악구 서울대 행정관 앞에서 열린 기자회견에서 손팻말을 들고 있다. 2026.9.11 mjkang@yna.co.kr  13일 법조계에 따르면 2004년 4월 헌재는 한 시민이 이라크 전쟁 파병이 위헌임을 확인해달라며 낸 헌법소원을 각하했다.  청구인은 이라크 전쟁이 '침략 전쟁'이라며 우리 헌법에 어긋나고 국민의 행복 추구권을 침해한다는 주장을 펼쳤다.  헌법 5조 1항은 대한민국은 국제평화의 유지에 노력하고 침략적 전쟁을 부인한다고 정한다.  헌재는 "외국에의 국군 파견 결정은 파견 군인의 생명·신체의 안전뿐만 아니라 국제 사회에서의 우리나라 지위와 역할, 동맹국과의 관계, 
국가 안보 등 국민 내지 국익에 영향을 미치는 복잡하고도 중요한 문제"라고 짚었다.  그러면서 "우리나라의 바람직한 위치, 앞으로 나아가야 할 방향 등 미래를 예측하고 목표를 설정하는 등 고도의 정치적 결단이 요구되는 
사안"이라고 강조했다.  국민이 선출한 대통령에게 국군 통수권을 부여하면서도 국군 파병에 대해서는 국회의 동의를 받도록 한 것은 심도 있는 논의를 거쳐 신중히 
결정하는 것이 바람직하기 때문이라고 설명했다.  그러면서 "한정된 자료만을 가지고 있는 우리 재판소가 판단하는 것은 바람직하지 않다고 할 것"이라며 "우리 재판소가 사법적 기준만으로 
이를 심판하는 것은 자제되어야 한다"고 했다.  파병 결정의 위헌 여부, 국가 안보에 보탬이 되는지, 국제규범에 어긋나는 침략 전쟁인지 여부 등은 대통령과 국회가 판단해야 할 
몫이라는 것이다.  오랜 민주주의 전통을 가진 외국에서도 외교 및 국방과 관련된 정치적 결단에 대해서는 사법 심사를 자제하고 있다고도 덧붙였다.   설령 사법적 심사 회피로 대통령과 국회의 자의적 판단이 방치될 수 있다는 우려에 대해서도 헌재는 "궁극적으로 선거를 통해 국민에 의한 
평가와 심판을 받게 될 것"이라고 밝혔다.  헌재의 이보다 앞서 2003년 12월에도 유사한 취지로 제기된 헌법소원에 대해 각하 결정을 내렸다.  민주사회를 위한 변호사모임(민변), 참여연대 등 시민단체와 권영길 전 민주노동당 대표, 현역 육군을 아들로 둔 어머니이 청구한 
사건이었다.  헌재는 이들이 파병 당사자가 아닌 만큼 직접적인 기본권 침해를 입지 않는다는 이유와 함께 고도의 정치적 결단은 존중돼야 한다며 판단 
이유를 설시했다. (서울=연합뉴스) 미국의 요청으로 호르무즈 해협 파병을 비롯한 군사적 기여 방안을 고심하는 한국 정부를 향해, 이란이 '미국의 압박에 
굴복하지 말라'는 취지의 이례적인 한글 공개 메시지를 내놨다.  사진은 에스마일 바가이 이란 외무부 대변인이 7일(현지시간) 소셜미디어 엑스(X) 계정에 올린 '위험한 선택에는 대가가 따른다'는 
경고성 메시지를 담은 사진. 2026.9.7 [바가이 대변인 엑스 계정 화면 캡처. 재판매 및 DB 금지] photo@yna.co.kr  전문가들은 호르무즈 해협 파병과 관련해 헌법소원이 제기되더라도 사법부가 신중한 태도를 유지해야 한다면서도, 청구인의 지위와 파병의 
구체적인 규모 및 성격, 무기의 체계에 따라 판단이 달라질 가능성을 배제할 수는 없다고 봤다.  지성우 성균관대 로스쿨 교수는 "전면적인 전투병 파병과 같은 결정이 아닌 이상 사법부에서 판단을 자제하는 게 맞다고 본다"며 "파병 
성격, 규모 등을 고려해 사법부가 개입할지 여부를 결정하게 될 것"이라고 했다.  헌법연구관 출신인 노희범 변호사도 "파병 계획이 구체화되지 않은 만큼 쉽게 예단하기 어렵지만 국회의 파병 동의가 있다는 전제하에 파병 
군인의 가족이 헌법소원을 청구한다면 다른 판단이 있을 수도 있다"고 했다.  winkite@yna.co.kr 제보는 카카오톡 okjebo &lt;저작권자(c) 연합뉴스, 무단 전재-재배포, AI 학습 및 활용 금지&gt; 2026/09/13 08:00 송고2026년09월13일 08시00분 송고</v>
      </c>
    </row>
    <row r="8" spans="1:6" x14ac:dyDescent="0.2">
      <c r="D8" s="3" t="str">
        <f ca="1">IFERROR(__xludf.DUMMYFUNCTION("""COMPUTED_VALUE"""),"백령도 해군부대 먹는 물, 붕소 기준치 초과로 '부적합'")</f>
        <v>백령도 해군부대 먹는 물, 붕소 기준치 초과로 '부적합'</v>
      </c>
      <c r="E8" s="4" t="str">
        <f ca="1">IFERROR(__xludf.DUMMYFUNCTION("""COMPUTED_VALUE"""),"https://www.yna.co.kr/view/AKR20260911111100065?section=politics/all")</f>
        <v>https://www.yna.co.kr/view/AKR20260911111100065?section=politics/all</v>
      </c>
      <c r="F8" s="3" t="str">
        <f ca="1">IFERROR(__xludf.DUMMYFUNCTION("TEXTJOIN("" "", TRUE, IMPORTXML(E8, ""//*[@id='articleWrap']//p""))"),"[연합뉴스 자료사진]  (인천=연합뉴스) 황정환 기자 = 서해 최북단 백령도에 주둔한 해군 부대의 먹는 물이 수질검사 결과 부적합 판정을 받은 것으로 
확인됐다.  13일 해군 등에 따르면 인천시 옹진군 백령도에 주둔하는 해군 부대는 올해 2분기 먹는 물 수질 정기 검사에서 붕소가 국내 
기준치(1㎎/L)를 초과한 1.52㎎/L가 검출됐다는 결과를 수질검사 전문기관으로부터 통보받았다.  해군은 지난달 10일 기본 필터를 교체한 뒤 탱크에 저장된 물을 채"&amp;"취해 재검사를 의뢰했으나, 이번에는 기준치의 2배를 웃도는 
2.34㎎/L가 검출됐다.  붕소는 건강에 유해할 수 있는 무기물질로, 국내에서는 세계보건기구(WHO) 기준(2.4㎎/L)보다 엄격한 수준으로 관리된다.  민간 상수도관이 연결되지 않은 이 부대는 바닷물을 해수 담수화 장치인 조수기로 끌어온 뒤 여러 단계의 필터를 거쳐 염분과 세균 등을 
제거하고, 이를 탱크에 저장해 사용한다.  해군은 부적합 판정이 나오자 조수기를 통해 공급되는 물을 마시지"&amp;" 못하도록 하고 세탁과 청소 등 생활용수로만 이용하도록 했다.  이에 따라 장병들은 현재 시중에서 판매 중인 생수를 음용하는 것으로 파악됐다.  다만 해군은 이번 결과와 관계 없이 도서 지역 부대에는 급수 불안정 등에 대비해 이전부터 장병 1명당 하루 2L의 생수를 제공하고 
있었고, 필요한 장병에게는 생수를 추가 지급하고 있다고 설명했다.  해군은 또 지난 7∼8일 멤브레인(고성능 필터) 36개와 활성탄 2개를 교체했으며, 오는 17일 다시 시료를 채"&amp;"취해 수질검사를 의뢰할 
계획이다.  백령도를 비롯한 도서 지역과 전방 부대는 대부분 상수도관이 연결되지 않아 해수 담수화 시설이나 지하수 관정 등을 이용해 자체적으로 
물을 공급하면서 물관리에 어려움을 겪는 것으로 알려졌다.  해군 관계자는 ""이달 중 해당 부대에 붕소 제거 기능이 있는 역삼투압 정수기를 추가로 설치하고 내년부터 약 212억원의 예산을 투입해 
도서 지역 급수시설을 개선할 계획""이라며 ""민간 상수도관 연결을 위해 지방자치단체 협의"&amp;"와 관련 법령 개정 등 다각적인 방면에서 
노력하겠다""고 말했다.  hwan@yna.co.kr 제보는 카카오톡 okjebo &lt;저작권자(c) 연합뉴스, 무단 전재-재배포, AI 학습 및 활용 금지&gt; 2026/09/13 07:27 송고2026년09월13일 07시27분 송고")</f>
        <v>[연합뉴스 자료사진]  (인천=연합뉴스) 황정환 기자 = 서해 최북단 백령도에 주둔한 해군 부대의 먹는 물이 수질검사 결과 부적합 판정을 받은 것으로 
확인됐다.  13일 해군 등에 따르면 인천시 옹진군 백령도에 주둔하는 해군 부대는 올해 2분기 먹는 물 수질 정기 검사에서 붕소가 국내 
기준치(1㎎/L)를 초과한 1.52㎎/L가 검출됐다는 결과를 수질검사 전문기관으로부터 통보받았다.  해군은 지난달 10일 기본 필터를 교체한 뒤 탱크에 저장된 물을 채취해 재검사를 의뢰했으나, 이번에는 기준치의 2배를 웃도는 
2.34㎎/L가 검출됐다.  붕소는 건강에 유해할 수 있는 무기물질로, 국내에서는 세계보건기구(WHO) 기준(2.4㎎/L)보다 엄격한 수준으로 관리된다.  민간 상수도관이 연결되지 않은 이 부대는 바닷물을 해수 담수화 장치인 조수기로 끌어온 뒤 여러 단계의 필터를 거쳐 염분과 세균 등을 
제거하고, 이를 탱크에 저장해 사용한다.  해군은 부적합 판정이 나오자 조수기를 통해 공급되는 물을 마시지 못하도록 하고 세탁과 청소 등 생활용수로만 이용하도록 했다.  이에 따라 장병들은 현재 시중에서 판매 중인 생수를 음용하는 것으로 파악됐다.  다만 해군은 이번 결과와 관계 없이 도서 지역 부대에는 급수 불안정 등에 대비해 이전부터 장병 1명당 하루 2L의 생수를 제공하고 
있었고, 필요한 장병에게는 생수를 추가 지급하고 있다고 설명했다.  해군은 또 지난 7∼8일 멤브레인(고성능 필터) 36개와 활성탄 2개를 교체했으며, 오는 17일 다시 시료를 채취해 수질검사를 의뢰할 
계획이다.  백령도를 비롯한 도서 지역과 전방 부대는 대부분 상수도관이 연결되지 않아 해수 담수화 시설이나 지하수 관정 등을 이용해 자체적으로 
물을 공급하면서 물관리에 어려움을 겪는 것으로 알려졌다.  해군 관계자는 "이달 중 해당 부대에 붕소 제거 기능이 있는 역삼투압 정수기를 추가로 설치하고 내년부터 약 212억원의 예산을 투입해 
도서 지역 급수시설을 개선할 계획"이라며 "민간 상수도관 연결을 위해 지방자치단체 협의와 관련 법령 개정 등 다각적인 방면에서 
노력하겠다"고 말했다.  hwan@yna.co.kr 제보는 카카오톡 okjebo &lt;저작권자(c) 연합뉴스, 무단 전재-재배포, AI 학습 및 활용 금지&gt; 2026/09/13 07:27 송고2026년09월13일 07시27분 송고</v>
      </c>
    </row>
    <row r="9" spans="1:6" x14ac:dyDescent="0.2">
      <c r="D9" s="3" t="str">
        <f ca="1">IFERROR(__xludf.DUMMYFUNCTION("""COMPUTED_VALUE"""),"與, '국민 눈높이' 내세워 용혜인 거취압박…김승원 방어 '올인'")</f>
        <v>與, '국민 눈높이' 내세워 용혜인 거취압박…김승원 방어 '올인'</v>
      </c>
      <c r="E9" s="4" t="str">
        <f ca="1">IFERROR(__xludf.DUMMYFUNCTION("""COMPUTED_VALUE"""),"https://www.yna.co.kr/view/AKR20260912040300001?section=politics/all")</f>
        <v>https://www.yna.co.kr/view/AKR20260912040300001?section=politics/all</v>
      </c>
      <c r="F9" s="3" t="str">
        <f ca="1">IFERROR(__xludf.DUMMYFUNCTION("TEXTJOIN("" "", TRUE, IMPORTXML(E9, ""//*[@id='articleWrap']//p""))")," (서울=연합뉴스) 최평천 최주성 기자 = 국회가 금주 인사청문회 슈퍼위크에 들어가는 가운데 더불어민주당이 13일 용혜인 성평등가족부 
장관 후보자의 거취 결단을 압박하고 있다.  용 후보자의 10일 '마이웨이' 선언 기자회견을 계기로 국민적 비토 여론이 확산하면서 국정부담이 걷잡을 수 없이 커지자 당내 기류가 
후보자 사수에서 낙마 불가피론 쪽으로 돌아선 모습이다.  이처럼 '손절'에 가까워진 민주당의 기류 변화에는 인사청문 대응력을 분산하지 않고 김"&amp;"승원 법무부 장관 후보자 살리기에 집중할 수 있을 
거라는 판단도 깔린 것으로 분석된다.  김 후보자의 경우 국정 핵심 과제인 자칭 검찰 개혁 완수 측면에서 발탁됐다는 상징성 때문에 절대 사수가 불가피하다는 게 민주당 
기조지만, 김 후보자도 각종 여론조사에서 임명 반대가 더 많다는 점 등은 부담이 되는 상황이다. (서울=연합뉴스) 김주형 기자 = 용혜인 성평등가족부 장관 후보자가 11일 서울 서대문구에 마련된 인사청문회 준비 사무실로 출근하며 
취재진"&amp;"에게 질문을 받고 있다. 2026.9.11 kjhpress@yna.co.kr  ◇ 與, '국민'으로 용혜인 사퇴 압박…고위 당정 주목  민주당은 연일 '국민'을 내세워 비례대표 의원과 장관직을 겸직하겠다는 용 후보자를 향해 사실상 자진 사퇴를 압박하는 메시지를 발신하고 
있다.  특히 메시지 수위도 ""국민의 목소리나 판단은 그 자체로 존중한다""(3일 김민석 대표), ""국민의 눈높이에서 엄중히 바라보겠다""(11일 
박성준 수석대변인), ""청년 세"&amp;"대의 여론이 들끓고 있다""(12일 조계원 대변인) 등으로 점점 높아지고 있다.  나아가 민주당은 지난 11일 ""당내외 의견을 비상하게 취합하고 있다""고 공개적으로 발언하면서 용 후보자에 신속한 결단을 요구했다.  이는 용 후보자가 버티기를 계속할 경우 결국 비상 취합한 의견을 청와대에 공식적으로 전달해 지명을 철회하는 수순으로 갈 수밖에 없다는 
점을 우회적으로 시사한 것으로 풀이된다.  민주당은 인사권이 대통령의 고유 권한인 데다 자신이 발탁한 "&amp;"인사에 대한 지명 철회는 이재명 대통령에게 부담을 줄 수 있는 만큼 용 
후보자가 자신 사퇴하길 기대하고 있다.  당 관계자는 연합뉴스와 통화에서 ""비례대표 의원 재선과 의원·장관 겸직에 대한 특혜·불공정 논란이 국민 정서를 건드린 상황""이라며 
""청문회에서 논리적으로 설명한다고 해서 여론이 바뀔 것 같지 않다""고 했다.  문제는 용 후보자가 기본소득당 사당화 의혹과 비선 조직 내 성차별 묵인 의혹 등을 반박하며 청문회를 통한 정면 돌파 의지를 "&amp;"밝혔다는 
점이다.  용 후보자가 버티기를 이어갈 경우 민주당이 이 대통령에게 지명 철회를 직접적으로 요구할 수 있다는 관측도 없지 않다.  이런 상황에서 당 지도부가 13일 오후 국무총리 공관에서 열리는 고위당정협의회에서 용 후보자에 대한 우려를 청와대에 전달할지 주목된다.  추석을 앞두고 물가 안정 등 정책 현안을 논의하는 회의지만, 최근 여권 지지율 하락의 주요 요인으로 꼽히는 용 후보자 문제가 거론될 
수 있다. (서울=연합뉴스) 임화영 기자 ="&amp;" 김승원 법무부 장관 후보자가 11일 서울 종로구 적선현대빌딩에 마련된 인사청문회 준비 사무실로 
출근하며 취재진의 질문을 듣고 있다. 2026.9.11 hwayoung7@yna.co.kr  ◇ 용혜인과 다른 김승원…방어 총력전  용 후보자와 달리 김 후보자에 대해선 민주당의 방어 태세가 확고하다.  김민석 대표는 지난 11일 김 후보자에 대해 ""지켜보면 지켜볼수록 잘된 인사라고 판단된다. 지킬 것""이라고 밝혔다.  김 후보자에 대한 반대 여론도 높"&amp;"지만, 야권에서 제기하는 코로나19 치료제 임상시험 승인 로비 의혹은 법적으로 문제없다는 결론이 나온 
사건인 만큼 여론을 설득할 수 있다는 게 민주당의 판단이다.  김 후보자가 윤석열 정부 검찰의 기소유예 처분을 받은 데다 대가성 청탁을 입증할 새로운 증거가 나오지 않는 이상 낙마 요인이 없다는 
것이다.  민주당은 무소속 한동훈 의원을 중심으로 '오빠', '집들이' 등의 가십성 의혹만 이어지고 있다고 보고 있다.  법무부 장관이 이번 개각의 핵심으로"&amp;" 평가받는 것도 김 후보자 지키기에 여당이 총력을 기울이는 배경으로 꼽힌다.  이재명 정부의 검찰개혁이 다음 달 2일 중대범죄수사청과 공소청 출범으로 시험대에 오르는 상황에서 법무부 장관 후보자 낙마는 국정 운영 
전반에 타격을 줄 수 있다.  민주당은 국회 법제사법위원회 간사로 검찰개혁 입법을 주도한 강경파인 김 후보자를 형사사법 체계의 안정적 전환을 이뤄낼 적임자로 보고 
있다.  다만 김 후보자도 '적합하지 않다(43%)'는 의견이 '적합하다(22"&amp;"%)보다 배 가까이 많은 상태(한국갤럽)다. 이에 따라 김 후보자 
관련 의혹이 청문회에서 충분히 소명되지 않은 상태에서 임명 절차가 진행될 경우 당청 지지율에 부정적 영향을 줄 것이란 전망이 나온다.  기사에 인용된 여론조사는 지난 8∼10일 전국 만 18세 이상 1천명을 대상으로 무작위 추출된 무선전화 가상번호에 전화 조사원 인터뷰 
방식으로 진행됐다. 표본오차는 95% 신뢰수준에 ±3.1%p, 접촉률은 46.7%, 응답률은 9.4%다. 자세한 내용"&amp;"은 
중앙선거여론조사심의위원회 홈페이지 참조.  pc@yna.co.kr 제보는 카카오톡 okjebo &lt;저작권자(c) 연합뉴스, 무단 전재-재배포, AI 학습 및 활용 금지&gt; 2026/09/13 07:00 송고2026년09월13일 07시00분 송고")</f>
        <v xml:space="preserve"> (서울=연합뉴스) 최평천 최주성 기자 = 국회가 금주 인사청문회 슈퍼위크에 들어가는 가운데 더불어민주당이 13일 용혜인 성평등가족부 
장관 후보자의 거취 결단을 압박하고 있다.  용 후보자의 10일 '마이웨이' 선언 기자회견을 계기로 국민적 비토 여론이 확산하면서 국정부담이 걷잡을 수 없이 커지자 당내 기류가 
후보자 사수에서 낙마 불가피론 쪽으로 돌아선 모습이다.  이처럼 '손절'에 가까워진 민주당의 기류 변화에는 인사청문 대응력을 분산하지 않고 김승원 법무부 장관 후보자 살리기에 집중할 수 있을 
거라는 판단도 깔린 것으로 분석된다.  김 후보자의 경우 국정 핵심 과제인 자칭 검찰 개혁 완수 측면에서 발탁됐다는 상징성 때문에 절대 사수가 불가피하다는 게 민주당 
기조지만, 김 후보자도 각종 여론조사에서 임명 반대가 더 많다는 점 등은 부담이 되는 상황이다. (서울=연합뉴스) 김주형 기자 = 용혜인 성평등가족부 장관 후보자가 11일 서울 서대문구에 마련된 인사청문회 준비 사무실로 출근하며 
취재진에게 질문을 받고 있다. 2026.9.11 kjhpress@yna.co.kr  ◇ 與, '국민'으로 용혜인 사퇴 압박…고위 당정 주목  민주당은 연일 '국민'을 내세워 비례대표 의원과 장관직을 겸직하겠다는 용 후보자를 향해 사실상 자진 사퇴를 압박하는 메시지를 발신하고 
있다.  특히 메시지 수위도 "국민의 목소리나 판단은 그 자체로 존중한다"(3일 김민석 대표), "국민의 눈높이에서 엄중히 바라보겠다"(11일 
박성준 수석대변인), "청년 세대의 여론이 들끓고 있다"(12일 조계원 대변인) 등으로 점점 높아지고 있다.  나아가 민주당은 지난 11일 "당내외 의견을 비상하게 취합하고 있다"고 공개적으로 발언하면서 용 후보자에 신속한 결단을 요구했다.  이는 용 후보자가 버티기를 계속할 경우 결국 비상 취합한 의견을 청와대에 공식적으로 전달해 지명을 철회하는 수순으로 갈 수밖에 없다는 
점을 우회적으로 시사한 것으로 풀이된다.  민주당은 인사권이 대통령의 고유 권한인 데다 자신이 발탁한 인사에 대한 지명 철회는 이재명 대통령에게 부담을 줄 수 있는 만큼 용 
후보자가 자신 사퇴하길 기대하고 있다.  당 관계자는 연합뉴스와 통화에서 "비례대표 의원 재선과 의원·장관 겸직에 대한 특혜·불공정 논란이 국민 정서를 건드린 상황"이라며 
"청문회에서 논리적으로 설명한다고 해서 여론이 바뀔 것 같지 않다"고 했다.  문제는 용 후보자가 기본소득당 사당화 의혹과 비선 조직 내 성차별 묵인 의혹 등을 반박하며 청문회를 통한 정면 돌파 의지를 밝혔다는 
점이다.  용 후보자가 버티기를 이어갈 경우 민주당이 이 대통령에게 지명 철회를 직접적으로 요구할 수 있다는 관측도 없지 않다.  이런 상황에서 당 지도부가 13일 오후 국무총리 공관에서 열리는 고위당정협의회에서 용 후보자에 대한 우려를 청와대에 전달할지 주목된다.  추석을 앞두고 물가 안정 등 정책 현안을 논의하는 회의지만, 최근 여권 지지율 하락의 주요 요인으로 꼽히는 용 후보자 문제가 거론될 
수 있다. (서울=연합뉴스) 임화영 기자 = 김승원 법무부 장관 후보자가 11일 서울 종로구 적선현대빌딩에 마련된 인사청문회 준비 사무실로 
출근하며 취재진의 질문을 듣고 있다. 2026.9.11 hwayoung7@yna.co.kr  ◇ 용혜인과 다른 김승원…방어 총력전  용 후보자와 달리 김 후보자에 대해선 민주당의 방어 태세가 확고하다.  김민석 대표는 지난 11일 김 후보자에 대해 "지켜보면 지켜볼수록 잘된 인사라고 판단된다. 지킬 것"이라고 밝혔다.  김 후보자에 대한 반대 여론도 높지만, 야권에서 제기하는 코로나19 치료제 임상시험 승인 로비 의혹은 법적으로 문제없다는 결론이 나온 
사건인 만큼 여론을 설득할 수 있다는 게 민주당의 판단이다.  김 후보자가 윤석열 정부 검찰의 기소유예 처분을 받은 데다 대가성 청탁을 입증할 새로운 증거가 나오지 않는 이상 낙마 요인이 없다는 
것이다.  민주당은 무소속 한동훈 의원을 중심으로 '오빠', '집들이' 등의 가십성 의혹만 이어지고 있다고 보고 있다.  법무부 장관이 이번 개각의 핵심으로 평가받는 것도 김 후보자 지키기에 여당이 총력을 기울이는 배경으로 꼽힌다.  이재명 정부의 검찰개혁이 다음 달 2일 중대범죄수사청과 공소청 출범으로 시험대에 오르는 상황에서 법무부 장관 후보자 낙마는 국정 운영 
전반에 타격을 줄 수 있다.  민주당은 국회 법제사법위원회 간사로 검찰개혁 입법을 주도한 강경파인 김 후보자를 형사사법 체계의 안정적 전환을 이뤄낼 적임자로 보고 
있다.  다만 김 후보자도 '적합하지 않다(43%)'는 의견이 '적합하다(22%)보다 배 가까이 많은 상태(한국갤럽)다. 이에 따라 김 후보자 
관련 의혹이 청문회에서 충분히 소명되지 않은 상태에서 임명 절차가 진행될 경우 당청 지지율에 부정적 영향을 줄 것이란 전망이 나온다.  기사에 인용된 여론조사는 지난 8∼10일 전국 만 18세 이상 1천명을 대상으로 무작위 추출된 무선전화 가상번호에 전화 조사원 인터뷰 
방식으로 진행됐다. 표본오차는 95% 신뢰수준에 ±3.1%p, 접촉률은 46.7%, 응답률은 9.4%다. 자세한 내용은 
중앙선거여론조사심의위원회 홈페이지 참조.  pc@yna.co.kr 제보는 카카오톡 okjebo &lt;저작권자(c) 연합뉴스, 무단 전재-재배포, AI 학습 및 활용 금지&gt; 2026/09/13 07:00 송고2026년09월13일 07시00분 송고</v>
      </c>
    </row>
    <row r="10" spans="1:6" x14ac:dyDescent="0.2">
      <c r="D10" s="3" t="str">
        <f ca="1">IFERROR(__xludf.DUMMYFUNCTION("""COMPUTED_VALUE"""),"""'FTA 피해 지원' 농어촌상생기금, 목표의 3분의 1도 못 채워""")</f>
        <v>"'FTA 피해 지원' 농어촌상생기금, 목표의 3분의 1도 못 채워"</v>
      </c>
      <c r="E10" s="4" t="str">
        <f ca="1">IFERROR(__xludf.DUMMYFUNCTION("""COMPUTED_VALUE"""),"https://www.yna.co.kr/view/AKR20260911164000001?section=politics/all")</f>
        <v>https://www.yna.co.kr/view/AKR20260911164000001?section=politics/all</v>
      </c>
      <c r="F10" s="3" t="str">
        <f ca="1">IFERROR(__xludf.DUMMYFUNCTION("TEXTJOIN("" "", TRUE, IMPORTXML(E10, ""//*[@id='articleWrap']//p""))"),"[연합뉴스 자료사진]  (서울=연합뉴스) 조다운 기자 = 자유무역협정(FTA) 체결로 피해를 본 농어업인을 지원하기 위해 만들어진 '농어촌상생협력기금'이 
목표액의 3분의 1도 채우지 못한 것으로 나타났다.  13일 국회 농림축산식품해양수산위원회 소속 국민의힘 김선교 의원(경기 여주·양평)이 농림축산식품부로부터 제출받은 '농어촌상생협력기금 
출연 현황'에 따르면, 2017년 '10년간 총 1조원 조성'을 목표로 도입된 농어촌기금의 누적 조성액은 올해 7"&amp;"월 기준 
3천255억원으로, 목표액의 32.6％에 불과했다.  기금은 애초 수출기업이 농어촌을 지원한다는 취지였으나 전체 조성액 중 민간기업 출연액은 1천532억8천만원으로 공공기관 
출연액(1천714억7천만원)보다도 적었다.  민간기업 출연액 중 '10대 대기업'의 출연액은 총 852억7천300만원이었다.   삼성이 166억2천500만원을 출연해 가장 많았고, 농협(129억200만원), 롯데(125억500만원), 
현대자동차(113억4천500만원),"&amp;" LG(113억2천400만원), SK(81억4천700만원) 등이 뒤를 이었다.  민간기업의 참여가 기대에 미치지 못하는 상황에서 정부와 여당은 기업 참여를 유인하기보다는 단순히 기금 운용 기간을 10년 연장하거나 
예산으로 부족한 재원을 충당하려 하고 있다는 것이 김 의원 지적이다.  김 의원은 ""목표액의 3분의 1밖에 조성하지 못한 원인이 무엇인지에 대한 제대로 된 평가 없이 기간만 10년 더 늘린다면 같은 실패가 
반복될 수밖에 없다""며 ""기업"&amp;"이 참여할 수 있도록 세액공제 확대와 동반성장지수 가점 강화, 공공 조달 연계 등 확실한 유인책을 마련해야 
한다""고 말했다.  allluck@yna.co.kr 제보는 카카오톡 okjebo &lt;저작권자(c) 연합뉴스, 무단 전재-재배포, AI 학습 및 활용 금지&gt; 2026/09/13 07:00 송고2026년09월13일 07시00분 송고")</f>
        <v>[연합뉴스 자료사진]  (서울=연합뉴스) 조다운 기자 = 자유무역협정(FTA) 체결로 피해를 본 농어업인을 지원하기 위해 만들어진 '농어촌상생협력기금'이 
목표액의 3분의 1도 채우지 못한 것으로 나타났다.  13일 국회 농림축산식품해양수산위원회 소속 국민의힘 김선교 의원(경기 여주·양평)이 농림축산식품부로부터 제출받은 '농어촌상생협력기금 
출연 현황'에 따르면, 2017년 '10년간 총 1조원 조성'을 목표로 도입된 농어촌기금의 누적 조성액은 올해 7월 기준 
3천255억원으로, 목표액의 32.6％에 불과했다.  기금은 애초 수출기업이 농어촌을 지원한다는 취지였으나 전체 조성액 중 민간기업 출연액은 1천532억8천만원으로 공공기관 
출연액(1천714억7천만원)보다도 적었다.  민간기업 출연액 중 '10대 대기업'의 출연액은 총 852억7천300만원이었다.   삼성이 166억2천500만원을 출연해 가장 많았고, 농협(129억200만원), 롯데(125억500만원), 
현대자동차(113억4천500만원), LG(113억2천400만원), SK(81억4천700만원) 등이 뒤를 이었다.  민간기업의 참여가 기대에 미치지 못하는 상황에서 정부와 여당은 기업 참여를 유인하기보다는 단순히 기금 운용 기간을 10년 연장하거나 
예산으로 부족한 재원을 충당하려 하고 있다는 것이 김 의원 지적이다.  김 의원은 "목표액의 3분의 1밖에 조성하지 못한 원인이 무엇인지에 대한 제대로 된 평가 없이 기간만 10년 더 늘린다면 같은 실패가 
반복될 수밖에 없다"며 "기업이 참여할 수 있도록 세액공제 확대와 동반성장지수 가점 강화, 공공 조달 연계 등 확실한 유인책을 마련해야 
한다"고 말했다.  allluck@yna.co.kr 제보는 카카오톡 okjebo &lt;저작권자(c) 연합뉴스, 무단 전재-재배포, AI 학습 및 활용 금지&gt; 2026/09/13 07:00 송고2026년09월13일 07시00분 송고</v>
      </c>
    </row>
    <row r="11" spans="1:6" x14ac:dyDescent="0.2">
      <c r="D11" s="3" t="str">
        <f ca="1">IFERROR(__xludf.DUMMYFUNCTION("""COMPUTED_VALUE"""),"국가 심리상담 사회복지사·간호사도 허용에 임상심리사 '반발'")</f>
        <v>국가 심리상담 사회복지사·간호사도 허용에 임상심리사 '반발'</v>
      </c>
      <c r="E11" s="4" t="str">
        <f ca="1">IFERROR(__xludf.DUMMYFUNCTION("""COMPUTED_VALUE"""),"https://www.yna.co.kr/view/AKR20260911128000530?section=politics/all")</f>
        <v>https://www.yna.co.kr/view/AKR20260911128000530?section=politics/all</v>
      </c>
      <c r="F11" s="3" t="str">
        <f ca="1">IFERROR(__xludf.DUMMYFUNCTION("TEXTJOIN("" "", TRUE, IMPORTXML(E11, ""//*[@id='articleWrap']//p""))")," (서울=연합뉴스) 김영신 기자 = 보건복지부가 국가와 지방자치단체가 시행하는 심리상담 사업을 임상심리사뿐 아니라 정신건강 분야 
사회복지사와 간호사, 작업치료사도 수행할 수 있도록 하는 방안을 다시 추진한다.  현재 정신건강전문요원 가운데 심리상담을 고유업무로 둔 임상심리사들은 상담 전문성이 떨어지고 고위험군을 제대로 가려내지 못할 수 있다며 
강하게 반발하고 있다. [연합뉴스 자료사진]  13일 보건복지부에 따르면 정신건강전문요원의 공통업무에 '국가"&amp;", 지자체 등에서 시행하는 심리상담 및 재난심리지원 사업 수행'을 
추가하는 정신건강증진 및 정신질환자 복지서비스 지원에 관한 법률(정신건강복지법) 시행령 개정안 입법예고가 진행 중이다.  정신건강복지법에 따르면 정신건강전문요원으로 임상심리사, 간호사, 사회복지사, 작업치료사 등 4개 직역이 있다.  현재 심리상담은 임상심리사의 고유 업무인데, 개정안이 시행되면 임상심리사 뿐 아니라 정신건강사회복지사와 정신건강간호사, 
정신건강작업치료사도 국가·지자체 "&amp;"등의 심리상담 사업을 수행할 수 있게 된다.  복지부는 ""정신건강 전문요원은 2024년부터 시행된 심리상담 바우처 사업 서비스 제공 인력으로 포함되는 등 재난 현장의 재난 심리 
지원 핵심 인력으로 활동하고 있다""며 ""이런 현실을 반영해 심리상담 사업을 정신건강전문요원 공통 업무로 하려는 것""이라고 개정 이유를 
설명했다.  그동안 정신건강학계 등에서도 정신건강 전문요원이 직역에 상관 없이 심리상담을 하고 있는 현실에 맞게, 법적 근거를 마련해 "&amp;"정신건강 
서비스 수요에 대응해야 한다는 지적이 있어 왔다.  그러나 심리상담 고유 직역이었던 임상심리사들은 상담 전문성 저하 등을 이유로 강력히 반대하고 있다.  한국임상심리학회는 성명에서 ""준비되지 않은 비전문 인력에게 심리상담을 전면 허용하는 것은 자살 등 고위험군 감별 실패로 이어져 국민 
정신건강을 심각한 위험에 빠뜨릴 것""이라고 주장했다.  임상심리학회는 ""각 직역의 학부·대학원 교육 과정과 법정 임상수련 깊이가 현저히 다르며 심리 상담"&amp;"은 단순한 위로성 대화나 자원 연계가 
아니라, 정확한 정신병리 감별과 심리평가를 기반으로 이뤄지는 고도의 임상행위""라며 ""정밀 평가 역량이 결여된 상담 인력이 무분별하게 
배치되면 국가 자살예방 안전망이 흔들릴 것""이라고 주장했다.  앞서 복지부는 시행령 개정을 지난 6월 먼저 추진하다 임상심리계의 반발로 한차례 보류하고 7∼8월 직역 간 공식 협의체를 가동한 뒤, 
이번에 다시 개정을 추진하고 있다.  이를 두고도 임상심리학회는 ""협의체 종료"&amp;" 후 협의·소통 없이 이뤄진 밀실·기습 행정""이라고 주장했다.  임상심리학회는 대정부 투쟁에 돌입했다.  지난 11일 청와대 앞에서 개정안 규탄 기자회견을 연 데 이어, 19일에는 전국 임상심리학 교수, 전문가, 대학원생, 범심리상담계 
유관 단체가 결집하는 도심 집회를 연다.  shiny@yna.co.kr 제보는 카카오톡 okjebo &lt;저작권자(c) 연합뉴스, 무단 전재-재배포, AI 학습 및 활용 금지&gt; 2026/09/13 06:03 송고2026년"&amp;"09월13일 06시03분 송고")</f>
        <v xml:space="preserve"> (서울=연합뉴스) 김영신 기자 = 보건복지부가 국가와 지방자치단체가 시행하는 심리상담 사업을 임상심리사뿐 아니라 정신건강 분야 
사회복지사와 간호사, 작업치료사도 수행할 수 있도록 하는 방안을 다시 추진한다.  현재 정신건강전문요원 가운데 심리상담을 고유업무로 둔 임상심리사들은 상담 전문성이 떨어지고 고위험군을 제대로 가려내지 못할 수 있다며 
강하게 반발하고 있다. [연합뉴스 자료사진]  13일 보건복지부에 따르면 정신건강전문요원의 공통업무에 '국가, 지자체 등에서 시행하는 심리상담 및 재난심리지원 사업 수행'을 
추가하는 정신건강증진 및 정신질환자 복지서비스 지원에 관한 법률(정신건강복지법) 시행령 개정안 입법예고가 진행 중이다.  정신건강복지법에 따르면 정신건강전문요원으로 임상심리사, 간호사, 사회복지사, 작업치료사 등 4개 직역이 있다.  현재 심리상담은 임상심리사의 고유 업무인데, 개정안이 시행되면 임상심리사 뿐 아니라 정신건강사회복지사와 정신건강간호사, 
정신건강작업치료사도 국가·지자체 등의 심리상담 사업을 수행할 수 있게 된다.  복지부는 "정신건강 전문요원은 2024년부터 시행된 심리상담 바우처 사업 서비스 제공 인력으로 포함되는 등 재난 현장의 재난 심리 
지원 핵심 인력으로 활동하고 있다"며 "이런 현실을 반영해 심리상담 사업을 정신건강전문요원 공통 업무로 하려는 것"이라고 개정 이유를 
설명했다.  그동안 정신건강학계 등에서도 정신건강 전문요원이 직역에 상관 없이 심리상담을 하고 있는 현실에 맞게, 법적 근거를 마련해 정신건강 
서비스 수요에 대응해야 한다는 지적이 있어 왔다.  그러나 심리상담 고유 직역이었던 임상심리사들은 상담 전문성 저하 등을 이유로 강력히 반대하고 있다.  한국임상심리학회는 성명에서 "준비되지 않은 비전문 인력에게 심리상담을 전면 허용하는 것은 자살 등 고위험군 감별 실패로 이어져 국민 
정신건강을 심각한 위험에 빠뜨릴 것"이라고 주장했다.  임상심리학회는 "각 직역의 학부·대학원 교육 과정과 법정 임상수련 깊이가 현저히 다르며 심리 상담은 단순한 위로성 대화나 자원 연계가 
아니라, 정확한 정신병리 감별과 심리평가를 기반으로 이뤄지는 고도의 임상행위"라며 "정밀 평가 역량이 결여된 상담 인력이 무분별하게 
배치되면 국가 자살예방 안전망이 흔들릴 것"이라고 주장했다.  앞서 복지부는 시행령 개정을 지난 6월 먼저 추진하다 임상심리계의 반발로 한차례 보류하고 7∼8월 직역 간 공식 협의체를 가동한 뒤, 
이번에 다시 개정을 추진하고 있다.  이를 두고도 임상심리학회는 "협의체 종료 후 협의·소통 없이 이뤄진 밀실·기습 행정"이라고 주장했다.  임상심리학회는 대정부 투쟁에 돌입했다.  지난 11일 청와대 앞에서 개정안 규탄 기자회견을 연 데 이어, 19일에는 전국 임상심리학 교수, 전문가, 대학원생, 범심리상담계 
유관 단체가 결집하는 도심 집회를 연다.  shiny@yna.co.kr 제보는 카카오톡 okjebo &lt;저작권자(c) 연합뉴스, 무단 전재-재배포, AI 학습 및 활용 금지&gt; 2026/09/13 06:03 송고2026년09월13일 06시03분 송고</v>
      </c>
    </row>
    <row r="12" spans="1:6" x14ac:dyDescent="0.2">
      <c r="D12" s="3" t="str">
        <f ca="1">IFERROR(__xludf.DUMMYFUNCTION("""COMPUTED_VALUE"""),"탱크데이'논란 여파…전국 지자체 스타벅스 상품권 구매 '급감'")</f>
        <v>탱크데이'논란 여파…전국 지자체 스타벅스 상품권 구매 '급감'</v>
      </c>
      <c r="E12" s="4" t="str">
        <f ca="1">IFERROR(__xludf.DUMMYFUNCTION("""COMPUTED_VALUE"""),"https://www.yna.co.kr/view/AKR20260911099200063?section=politics/all")</f>
        <v>https://www.yna.co.kr/view/AKR20260911099200063?section=politics/all</v>
      </c>
      <c r="F12" s="3" t="str">
        <f ca="1">IFERROR(__xludf.DUMMYFUNCTION("TEXTJOIN("" "", TRUE, IMPORTXML(E12, ""//*[@id='articleWrap']//p""))"),"[연합뉴스 자료사진]  (세종=연합뉴스) 양영석 기자 = 이른바 '탱크데이' 논란 이후 전국 지방자치단체(지자체)가 스타벅스 상품권 구매를 대폭 줄인 것으로 
나타났다.  14일 국회 행정안전위원회 소속 더불어민주당 박정현(대전 대덕) 의원이 전국 지자체로부터 전달받은 상품권 구매내용을 살펴보면 
지자체들은 최근 3년간 스타벅스 상품권을 사는 데 13억4천여만원을 지출했다.  상품권 구매 시기가 특정되지 않은 금액까지 합치면 17억원이 넘는다고 박 의원"&amp;"실은 설명했다.  스타벅스 상품권 구매액은 이른바 '탱크데이' 논란 이후 급격히 줄어든 것으로 조사됐다.  최근 3년간 전국 지자체의 스타벅스 상품권 구매 실적은 2024년 5억2천여만원, 2025년 6억8천여만원, 올해 상반기 기준 
1억3천여만원으로 집계됐다.  월별 평균 구매액은 2024년 4천3백여만원, 2025년 5천6백여만원에서 2026년 2천1백여만원으로 급격히 감소했다.  지난 5월 스타벅스코리아가 진행한 5·18 민주화운동 기념일 '탱크"&amp;"데이' 프로모션이 정치적 논란으로 번지면서 불매운동으로 이어졌는데, 
전국 지자체 역시 이런 흐름에 영향을 받은 것으로 박 의원실은 분석했다, [연합뉴스 인포그래픽 자료]  지자체별로는 서울시가 3년간 스타벅스 상품권을 5억2천여만원어치를 구매해 가장 많았고, 경기도 (3억5천여만원), 
경남(1억1천여만원), 부산(1억여원), 충남(9천여만원) 등의 순이었다. 서울과 경기도의 구매액이 전체의 절반을 넘게 차지했다.  지자체는 스타벅스 상품권을 대부분 "&amp;"직원 격려, 포상, 간식용으로 구매했고, 설문조사·이벤트 경품으로도 활용했다.  박 의원실은 지자체 물품 구매 예산이 골목상권·소상공인을 위해 우선 집행돼야 한다고 지적했다.  박정현 의원은 ""지역경제 활성화를 위해 지역화폐 사용을 독려해온 지자체가 정작 소상공인이 아닌 대기업 상품권 구매에 예산을 쓰는 것은 
앞뒤가 맞지 않는다""며 ""지자체별 상품권 구매 실태와 지역화폐 예산 집행 현황을 함께 점검하겠다""고 말했다.  youngs@yna.co."&amp;"kr 제보는 카카오톡 okjebo &lt;저작권자(c) 연합뉴스, 무단 전재-재배포, AI 학습 및 활용 금지&gt; 2026/09/13 06:00 송고2026년09월13일 06시00분 송고")</f>
        <v>[연합뉴스 자료사진]  (세종=연합뉴스) 양영석 기자 = 이른바 '탱크데이' 논란 이후 전국 지방자치단체(지자체)가 스타벅스 상품권 구매를 대폭 줄인 것으로 
나타났다.  14일 국회 행정안전위원회 소속 더불어민주당 박정현(대전 대덕) 의원이 전국 지자체로부터 전달받은 상품권 구매내용을 살펴보면 
지자체들은 최근 3년간 스타벅스 상품권을 사는 데 13억4천여만원을 지출했다.  상품권 구매 시기가 특정되지 않은 금액까지 합치면 17억원이 넘는다고 박 의원실은 설명했다.  스타벅스 상품권 구매액은 이른바 '탱크데이' 논란 이후 급격히 줄어든 것으로 조사됐다.  최근 3년간 전국 지자체의 스타벅스 상품권 구매 실적은 2024년 5억2천여만원, 2025년 6억8천여만원, 올해 상반기 기준 
1억3천여만원으로 집계됐다.  월별 평균 구매액은 2024년 4천3백여만원, 2025년 5천6백여만원에서 2026년 2천1백여만원으로 급격히 감소했다.  지난 5월 스타벅스코리아가 진행한 5·18 민주화운동 기념일 '탱크데이' 프로모션이 정치적 논란으로 번지면서 불매운동으로 이어졌는데, 
전국 지자체 역시 이런 흐름에 영향을 받은 것으로 박 의원실은 분석했다, [연합뉴스 인포그래픽 자료]  지자체별로는 서울시가 3년간 스타벅스 상품권을 5억2천여만원어치를 구매해 가장 많았고, 경기도 (3억5천여만원), 
경남(1억1천여만원), 부산(1억여원), 충남(9천여만원) 등의 순이었다. 서울과 경기도의 구매액이 전체의 절반을 넘게 차지했다.  지자체는 스타벅스 상품권을 대부분 직원 격려, 포상, 간식용으로 구매했고, 설문조사·이벤트 경품으로도 활용했다.  박 의원실은 지자체 물품 구매 예산이 골목상권·소상공인을 위해 우선 집행돼야 한다고 지적했다.  박정현 의원은 "지역경제 활성화를 위해 지역화폐 사용을 독려해온 지자체가 정작 소상공인이 아닌 대기업 상품권 구매에 예산을 쓰는 것은 
앞뒤가 맞지 않는다"며 "지자체별 상품권 구매 실태와 지역화폐 예산 집행 현황을 함께 점검하겠다"고 말했다.  youngs@yna.co.kr 제보는 카카오톡 okjebo &lt;저작권자(c) 연합뉴스, 무단 전재-재배포, AI 학습 및 활용 금지&gt; 2026/09/13 06:00 송고2026년09월13일 06시00분 송고</v>
      </c>
    </row>
    <row r="13" spans="1:6" x14ac:dyDescent="0.2">
      <c r="D13" s="3" t="str">
        <f ca="1">IFERROR(__xludf.DUMMYFUNCTION("""COMPUTED_VALUE"""),"""청년정책 통합 플랫폼 '온통청년', 지난해 방문자 반토막""")</f>
        <v>"청년정책 통합 플랫폼 '온통청년', 지난해 방문자 반토막"</v>
      </c>
      <c r="E13" s="4" t="str">
        <f ca="1">IFERROR(__xludf.DUMMYFUNCTION("""COMPUTED_VALUE"""),"https://www.yna.co.kr/view/AKR20260911154200001?section=politics/all")</f>
        <v>https://www.yna.co.kr/view/AKR20260911154200001?section=politics/all</v>
      </c>
      <c r="F13" s="3" t="str">
        <f ca="1">IFERROR(__xludf.DUMMYFUNCTION("TEXTJOIN("" "", TRUE, IMPORTXML(E13, ""//*[@id='articleWrap']//p""))"),"[온통청년 홈페이지 캡처]  (서울=연합뉴스) 이상현 기자 = 국무조정실의 청년정책 통합플랫폼 '온통청년'이 시스템 고도화 첫해인 지난해 방문자와 상담실적 모두 
크게 감소한 것으로 나타났다.  13일 국회 정무위원회 소속 더불어민주당 박민규 의원이 국무조정실에서 제출받은 자료에 따르면 지난해 온통청년 홈페이지 방문자 수는 
220만9천73명으로 전년도(489만164명)보다 약 54.8% 감소했다.  유선 일반 상담은 2024년 5만5천881건에서 20"&amp;"25년 4천534건으로 91.9% 감소했다. 온라인 심층 상담도 같은 기간 
6천258건에서 2천198건으로 64.9% 줄었다.  국조실은 홈페이지 방문자 감소와 관련 방문자 집계 방식의 변화와 홍보 기간이 짧았던 점을 원인으로 설명했다고 의원실은 전했다.  온통청년은 흩어진 청년정책 정보를 모아 청년에게 실시간·맞춤형 상담 서비스를 제공하는 통합플랫폼으로, 21억여원 예산이 투입된 고도화 
사업을 거쳐 지난해부터 새로운 시스템이 운영됐다.  박 의원은"&amp;" ""청년 정책을 아무리 많이 만들고 한곳에 모아놓아도 정작 청년들이 알지 못하고 이용하지 않는다면 무용지물""이라며 
""(플랫폼을) 필요한 정책과 지원으로 연결될 수 있는 실질적인 청년정책 창구로 만들어야 한다""고 지적했다.  hapyry@yna.co.kr 제보는 카카오톡 okjebo &lt;저작권자(c) 연합뉴스, 무단 전재-재배포, AI 학습 및 활용 금지&gt; 2026/09/13 06:00 송고2026년09월13일 06시00분 송고")</f>
        <v>[온통청년 홈페이지 캡처]  (서울=연합뉴스) 이상현 기자 = 국무조정실의 청년정책 통합플랫폼 '온통청년'이 시스템 고도화 첫해인 지난해 방문자와 상담실적 모두 
크게 감소한 것으로 나타났다.  13일 국회 정무위원회 소속 더불어민주당 박민규 의원이 국무조정실에서 제출받은 자료에 따르면 지난해 온통청년 홈페이지 방문자 수는 
220만9천73명으로 전년도(489만164명)보다 약 54.8% 감소했다.  유선 일반 상담은 2024년 5만5천881건에서 2025년 4천534건으로 91.9% 감소했다. 온라인 심층 상담도 같은 기간 
6천258건에서 2천198건으로 64.9% 줄었다.  국조실은 홈페이지 방문자 감소와 관련 방문자 집계 방식의 변화와 홍보 기간이 짧았던 점을 원인으로 설명했다고 의원실은 전했다.  온통청년은 흩어진 청년정책 정보를 모아 청년에게 실시간·맞춤형 상담 서비스를 제공하는 통합플랫폼으로, 21억여원 예산이 투입된 고도화 
사업을 거쳐 지난해부터 새로운 시스템이 운영됐다.  박 의원은 "청년 정책을 아무리 많이 만들고 한곳에 모아놓아도 정작 청년들이 알지 못하고 이용하지 않는다면 무용지물"이라며 
"(플랫폼을) 필요한 정책과 지원으로 연결될 수 있는 실질적인 청년정책 창구로 만들어야 한다"고 지적했다.  hapyry@yna.co.kr 제보는 카카오톡 okjebo &lt;저작권자(c) 연합뉴스, 무단 전재-재배포, AI 학습 및 활용 금지&gt; 2026/09/13 06:00 송고2026년09월13일 06시00분 송고</v>
      </c>
    </row>
    <row r="14" spans="1:6" x14ac:dyDescent="0.2">
      <c r="D14" s="3" t="str">
        <f ca="1">IFERROR(__xludf.DUMMYFUNCTION("""COMPUTED_VALUE"""),"김승원 의혹 '檢자료 유출' 수사 본격화…조력자·경로 규명될까")</f>
        <v>김승원 의혹 '檢자료 유출' 수사 본격화…조력자·경로 규명될까</v>
      </c>
      <c r="E14" s="4" t="str">
        <f ca="1">IFERROR(__xludf.DUMMYFUNCTION("""COMPUTED_VALUE"""),"https://www.yna.co.kr/view/AKR20260911163300004?section=politics/all")</f>
        <v>https://www.yna.co.kr/view/AKR20260911163300004?section=politics/all</v>
      </c>
      <c r="F14" s="3" t="str">
        <f ca="1">IFERROR(__xludf.DUMMYFUNCTION("TEXTJOIN("" "", TRUE, IMPORTXML(E14, ""//*[@id='articleWrap']//p""))"),"(서울=연합뉴스) 임화영 기자 = 김승원 법무부 장관 후보자가 11일 서울 종로구 적선현대빌딩에 마련된 인사청문회 준비 사무실로 
출근하며 취재진의 질문에 답하고 있다. 2026.9.11 hwayoung7@yna.co.kr  (서울=연합뉴스) 이밝음 기자 = 김승원 법무부 장관 후보자의 코로나19 치료제 임상시험 승인 청탁 의혹과 관련해 여권이 검찰 내부 
수사 기록이 불법 유출됐다고 역공에 나서면서 사태 전개 추이가 주목된다.  현재로선 검찰 퇴직자가"&amp;" 연루됐을 가능성에 무게가 실리는 가운데 경찰이 일단 수사에 나선 모양새지만 사안의 성격상 유출 경로가 
규명될지는 미지수라는 관측도 나온다.   13일 법조계에 따르면 의혹의 핵심은 무소속 한동훈 의원이 공익 제보자로부터 받았다면서 공개한 내용에 검찰의 기소 계획 등 비공개 
수사 정보가 포함됐다는 것이다.  앞서 한 의원은 지난 4일 페이스북 글에서 2024년 8월 당시 서울서부지검이 김 후보자를 알선뇌물약속 혐의로 기소하고 징역 8월을 
구형하겠다"&amp;"는 기소계획을 대검찰청과 법무부에 전달했다며 '서부지검 김승원 기소 계획 문서' 내용을 공개했다. 김 후보자는 같은 해 12월 
기소유예 처분됐다.  한 의원이 지금까지 공개했던 김 후보자와 브로커 양모씨, 제넨셀 설립자 강모씨 등의 녹취는 재판 기록으로 제출돼 사건 관계자들이 
확보할 수 있었다.  그러나 기소 계획서는 법원에 제출되지 않아 변호인이 열람·등사할 수 없는 자료다.  수사팀과 대검찰청 보고 라인에 있는 간부 등 일부만 알 수 있는 정보라"&amp;"는 점에서 검찰 내부에서도 해당 자료 확보 경로를 놓고 논란이 
됐다.  더불어민주당은 이를 '수사자료 유출 게이트'로 규정하고 한 의원을 공무상 비밀누설 등 혐의로 지난 7일 경찰청 국가수사본부에 
고발했다. 법무부에도 감찰·수사 의뢰를 요구했다. (서울=연합뉴스) 황광모 기자 = 무소속 한동훈 의원이 11일 국회 의원회관 국민의힘 박정훈 의원 사무실에서 열린 김승원 법무부 장관 
후보자 '신약 임상실험 승인 청탁 의혹' 관련 제넨셀·세종메디칼 주가조"&amp;"작 피해자 기자회견에 참석해 발언하고 있다. 2026.9.11 
[공동취재] hkmpooh@yna.co.kr  이에 따라 유출자와 유출 경로 파악은 경찰 수사의 몫이 된 상황이다.  세간의 관심은 실제 한 의원이 검찰 내부 자료를 은밀하게 확보했다면 그 조력자가 검찰 내부자냐, 아니면 이미 퇴직한 외부자냐 하는 
것이다.   만약 해당 자료가 현직 검사나 수사관 등 검찰 내부로부터 유출됐다면 전산상 열람 기록을 확인해 유출자를 파악할 수 있다.  다만 "&amp;"법조계에선 현직자가 자료를 유출했을 가능성은 작다고 보고 있다.  이미 검찰을 떠난 한 의원을 위해 전산 기록이 남는 위험 부담을 감수하면서 자료를 넘기긴 쉽지 않다는 것이다.  이 때문에 검찰을 떠난 외부자의 협조가 있었을 가능성이 가장 먼저 거론된다.   여권도 퇴직자가 수사 자료를 반출한 뒤 이를 한 의원에게 전달했을 가능성에 무게를 두고 있다.  한 의원이 검찰에 재직할 당시 최측근으로 거론되던 서부지검 수사팀 출신 인물들도 의혹선상에 올라 있다"&amp;".  앞서 이진수 법무부 장관 직무대행(차관)은 지난 9일 국회 대정부 질문에서 ""퇴직자가 수사 자료를 가지고 나가는 것은 안 되는 
일""이라며 ""기본적으로 수사자료 제공은 공무상비밀누설이나 개인정보보호법 위반에 해당하는 범죄""라고 말했다.  경찰은 국회를 관할하는 영등포경찰서에 해당 고발 사건을 배당하고 본격적인 수사를 저울질하는 모양새다.  당장 고발 엿새 만인 오는 13일 한 의원을 고발한 김동아 민주당 의원에 대한 고발인 조사를 진행한다."&amp;"  다만, 경찰 수사가 의미 있는 성과를 낼지는 미지수다.   의혹 대상자들이 수사 경험이 많은 법률 전문가라 실제 자료를 유출했다 하더라도 관련 증거를 남기지 않았을 가능성이 크다는 시각도 있다.  2년 넘게 시간이 지난터라 이미 없앤 기록을 복구하는 것도 쉽지 않을 것으로 보인다.  검찰 관계자는 ""검찰 내부 문건을 유출해 정치적인 용도로 활용하는 것은 분명 불법적인 일이지만 수사로 이를 규명하는 것은 또다른 
문제""라며 ""검찰 퇴직자의 소행이"&amp;"라면 문제될 증거는 이미 인멸했을 가능성이 커 수사가 난항을 겪을 가능성이 크다""고 짚었다.  bright@yna.co.kr 제보는 카카오톡 okjebo &lt;저작권자(c) 연합뉴스, 무단 전재-재배포, AI 학습 및 활용 금지&gt; 2026/09/13 05:55 송고2026년09월13일 05시55분 송고")</f>
        <v>(서울=연합뉴스) 임화영 기자 = 김승원 법무부 장관 후보자가 11일 서울 종로구 적선현대빌딩에 마련된 인사청문회 준비 사무실로 
출근하며 취재진의 질문에 답하고 있다. 2026.9.11 hwayoung7@yna.co.kr  (서울=연합뉴스) 이밝음 기자 = 김승원 법무부 장관 후보자의 코로나19 치료제 임상시험 승인 청탁 의혹과 관련해 여권이 검찰 내부 
수사 기록이 불법 유출됐다고 역공에 나서면서 사태 전개 추이가 주목된다.  현재로선 검찰 퇴직자가 연루됐을 가능성에 무게가 실리는 가운데 경찰이 일단 수사에 나선 모양새지만 사안의 성격상 유출 경로가 
규명될지는 미지수라는 관측도 나온다.   13일 법조계에 따르면 의혹의 핵심은 무소속 한동훈 의원이 공익 제보자로부터 받았다면서 공개한 내용에 검찰의 기소 계획 등 비공개 
수사 정보가 포함됐다는 것이다.  앞서 한 의원은 지난 4일 페이스북 글에서 2024년 8월 당시 서울서부지검이 김 후보자를 알선뇌물약속 혐의로 기소하고 징역 8월을 
구형하겠다는 기소계획을 대검찰청과 법무부에 전달했다며 '서부지검 김승원 기소 계획 문서' 내용을 공개했다. 김 후보자는 같은 해 12월 
기소유예 처분됐다.  한 의원이 지금까지 공개했던 김 후보자와 브로커 양모씨, 제넨셀 설립자 강모씨 등의 녹취는 재판 기록으로 제출돼 사건 관계자들이 
확보할 수 있었다.  그러나 기소 계획서는 법원에 제출되지 않아 변호인이 열람·등사할 수 없는 자료다.  수사팀과 대검찰청 보고 라인에 있는 간부 등 일부만 알 수 있는 정보라는 점에서 검찰 내부에서도 해당 자료 확보 경로를 놓고 논란이 
됐다.  더불어민주당은 이를 '수사자료 유출 게이트'로 규정하고 한 의원을 공무상 비밀누설 등 혐의로 지난 7일 경찰청 국가수사본부에 
고발했다. 법무부에도 감찰·수사 의뢰를 요구했다. (서울=연합뉴스) 황광모 기자 = 무소속 한동훈 의원이 11일 국회 의원회관 국민의힘 박정훈 의원 사무실에서 열린 김승원 법무부 장관 
후보자 '신약 임상실험 승인 청탁 의혹' 관련 제넨셀·세종메디칼 주가조작 피해자 기자회견에 참석해 발언하고 있다. 2026.9.11 
[공동취재] hkmpooh@yna.co.kr  이에 따라 유출자와 유출 경로 파악은 경찰 수사의 몫이 된 상황이다.  세간의 관심은 실제 한 의원이 검찰 내부 자료를 은밀하게 확보했다면 그 조력자가 검찰 내부자냐, 아니면 이미 퇴직한 외부자냐 하는 
것이다.   만약 해당 자료가 현직 검사나 수사관 등 검찰 내부로부터 유출됐다면 전산상 열람 기록을 확인해 유출자를 파악할 수 있다.  다만 법조계에선 현직자가 자료를 유출했을 가능성은 작다고 보고 있다.  이미 검찰을 떠난 한 의원을 위해 전산 기록이 남는 위험 부담을 감수하면서 자료를 넘기긴 쉽지 않다는 것이다.  이 때문에 검찰을 떠난 외부자의 협조가 있었을 가능성이 가장 먼저 거론된다.   여권도 퇴직자가 수사 자료를 반출한 뒤 이를 한 의원에게 전달했을 가능성에 무게를 두고 있다.  한 의원이 검찰에 재직할 당시 최측근으로 거론되던 서부지검 수사팀 출신 인물들도 의혹선상에 올라 있다.  앞서 이진수 법무부 장관 직무대행(차관)은 지난 9일 국회 대정부 질문에서 "퇴직자가 수사 자료를 가지고 나가는 것은 안 되는 
일"이라며 "기본적으로 수사자료 제공은 공무상비밀누설이나 개인정보보호법 위반에 해당하는 범죄"라고 말했다.  경찰은 국회를 관할하는 영등포경찰서에 해당 고발 사건을 배당하고 본격적인 수사를 저울질하는 모양새다.  당장 고발 엿새 만인 오는 13일 한 의원을 고발한 김동아 민주당 의원에 대한 고발인 조사를 진행한다.  다만, 경찰 수사가 의미 있는 성과를 낼지는 미지수다.   의혹 대상자들이 수사 경험이 많은 법률 전문가라 실제 자료를 유출했다 하더라도 관련 증거를 남기지 않았을 가능성이 크다는 시각도 있다.  2년 넘게 시간이 지난터라 이미 없앤 기록을 복구하는 것도 쉽지 않을 것으로 보인다.  검찰 관계자는 "검찰 내부 문건을 유출해 정치적인 용도로 활용하는 것은 분명 불법적인 일이지만 수사로 이를 규명하는 것은 또다른 
문제"라며 "검찰 퇴직자의 소행이라면 문제될 증거는 이미 인멸했을 가능성이 커 수사가 난항을 겪을 가능성이 크다"고 짚었다.  bright@yna.co.kr 제보는 카카오톡 okjebo &lt;저작권자(c) 연합뉴스, 무단 전재-재배포, AI 학습 및 활용 금지&gt; 2026/09/13 05:55 송고2026년09월13일 05시55분 송고</v>
      </c>
    </row>
    <row r="15" spans="1:6" x14ac:dyDescent="0.2">
      <c r="D15" s="3" t="str">
        <f ca="1">IFERROR(__xludf.DUMMYFUNCTION("""COMPUTED_VALUE"""),"이형일 ""재정 적극적 역할 필요…지속 가능성에도 공감""")</f>
        <v>이형일 "재정 적극적 역할 필요…지속 가능성에도 공감"</v>
      </c>
      <c r="E15" s="4" t="str">
        <f ca="1">IFERROR(__xludf.DUMMYFUNCTION("""COMPUTED_VALUE"""),"https://www.yna.co.kr/view/AKR20260912044200002?section=politics/all")</f>
        <v>https://www.yna.co.kr/view/AKR20260912044200002?section=politics/all</v>
      </c>
      <c r="F15" s="3" t="str">
        <f ca="1">IFERROR(__xludf.DUMMYFUNCTION("TEXTJOIN("" "", TRUE, IMPORTXML(E15, ""//*[@id='articleWrap']//p""))"),"(세종=연합뉴스) 김주성 기자 = 이형일 부총리 겸 재정경제부 장관 후보자가 2일 세종시 정부세종청사에서 재경부 출입기자들과 간담회를 
하고 있다. [연합뉴스 자료사진]  (세종=연합뉴스) 이세원 김수현 기자 = 이형일 경제부총리 겸 재정경제부 장관 후보자는 13일 재정의 지속 가능성도 고려해야 하지만 
현 국면에서는 재정을 적극적으로 활용할 필요가 있다는 인식을 내비쳤다.  이 후보자는 15일 예정된 인사청문회를 위해 재경부가 국회에 제출한 자료에서 "&amp;"""대외불확실성, 우리경제 구조적 문제에 대응한 재정의 
적극적 역할이 필요하다""고 밝혔다.  그러면서 그는 ""재정의 지속가능성 제고를 위한 제도적 장치가 필요하다는 의견에 공감한다""면서 ""국가채무·의무지출의 과도한 증가는 
재정여력을 제약하고, 잠재성장률과 미래세대 부담에 부정적 영향을 미칠 수 있다""고 덧붙였다.  다만 ""세계 각국도 코로나 이후 재정준칙 적용을 유예·완화하는 중인 점도 고려할 필요가 있다""며 ""적극적 재정 역할과 재정"&amp;"의 
지속가능성 확보는 성과중심 재정운용 등을 통해 조화롭게 추진 가능하다""고 강조했다.  공급능력 확충 등 성과를 낼 수 있는 분야에 재정을 투입하면 성장과 재정의 선순환을 구현할 수 있다는 지론도 펼쳤다.  이 후보자는 이재명 대통령 취임 후 정부의 재정 운용이 ""성과를 내는 것으로 판단된다""며 올해와 내년 예산의 경우 ""잠재성장률 
확충·양극화 완화 등 구조적 문제 대응에 초점을 두고 재정을 적극적으로 운용하고 있다""고 설명했다.  그는 "&amp;"코로나19 확산 시절 재경부의 전신인 기획재정부 경제정책국장 및 차관보 등으로서 민생·경기 대응 등의 업무를 수행한 경험을 
돌아보고서 ""당시 재정·금융 지원은 가계소득과 소상공인의 경영을 뒷받침하고, 소비 위축과 금융시장 불안을 완화하는 데 기여했다""고 
의미를 부여했다.  다만 ""코로나 시기 중소기업·소상공인 대상 금융지원으로 부채가 빠르게 증가한 측면도 있다""고 짚었다. 이에 대응해 금리 상승기 
취약차주 부담 경감을 위한 채무조정 활성화,"&amp;" 중소기업·소상공인 지원 확대 등을 추진 중이라고 덧붙였다. (서울=연합뉴스) 이형일 부총리 겸 재정경제부 장관 후보자가 7일 추석민생안정 대책의 일환으로 서울 강서구 까치산시장을 방문해 물가를 
점검하고 소상공인들의 애로사항을 청취하고 있다. 2026.9.7 [재정경제부 제공. 재판매 및 DB 금지] photo@yna.co.kr  잠재성장률, 양극화, 민생 등을 현안으로 꼽았다.  이 후보자는 ""부총리로 취임하게 된다면 잠재성장률 반등과 양극화 축소"&amp;"를 최우선 과제로 부처 간 협업을 강화해 정책의 속도와 추진력을 
높이겠다""고 각오를 다졌다.  특히 양극화의 경우 여러 경제·사회적 요인이 누적·복합적 작용하면서 여러 형태로 발생하고 있다고 진단하고서 이를 극복하기 위해 
""경제·산업 및 사회 전반의 구조개혁을 동시에 적극 추진겠다""고 의지를 표명했다.  공적연금을 국고로 지원하는 것이 제도의 안정적 운영과 가입자 부담 완화, 취약계층 보호 등에 기여할 수 있다고 봤다. 다만 ""적자국채 
발행"&amp;" 등을 통한 재정투입은 국가채무가 증가하는 상황에서 국가 재정에 부담으로 작용할 수 있어 재정여건, 재정지출 우선순위 등을 
종합적으로 고려할 필요가 있다""고 조건을 달았다.  석유 최고가격제가 ""국민들의 유류비 부담을 경감시키고 급격한 물류비 상승을 방어하는 안전판""이라고 규정했다. 다만 중동 불확실성이 
해소되고 국제유가 및 국내 석유류 가격이 안정되는 즉시 해제를 검토할 것이라고 예고했다.  이 후보자는 ""성장·고용·생산성 및 재정에 하방 "&amp;"압력으로 작용할 것""이라고 저출생·고령화·생산가능인구 감소를 우려했다.  이런 가운데 인공지능 전환이 한국 경제에 도전이자 기회가 될 수 있으므로 부총리로 취임하면 경제 도약의 발판으로 삼을 수 있도록 
최선을 다하겠다고 포부를 밝혔다.  구윤철 현 부총리 겸 재정경제부 장관에 관해선 ""계엄 이후 어려웠던 우리 경제의 회복과 정상화와 함께, 인공지능(AI) 대전환 등을 
통한 잠재성장률 반등과 양극화 극복 등 대도약을 위한 기반 마련에 힘쓰셨다""고"&amp;" 평가했다.  sewonlee@yna.co.kr 제보는 카카오톡 okjebo &lt;저작권자(c) 연합뉴스, 무단 전재-재배포, AI 학습 및 활용 금지&gt; 2026/09/13 05:30 송고2026년09월13일 05시30분 송고")</f>
        <v>(세종=연합뉴스) 김주성 기자 = 이형일 부총리 겸 재정경제부 장관 후보자가 2일 세종시 정부세종청사에서 재경부 출입기자들과 간담회를 
하고 있다. [연합뉴스 자료사진]  (세종=연합뉴스) 이세원 김수현 기자 = 이형일 경제부총리 겸 재정경제부 장관 후보자는 13일 재정의 지속 가능성도 고려해야 하지만 
현 국면에서는 재정을 적극적으로 활용할 필요가 있다는 인식을 내비쳤다.  이 후보자는 15일 예정된 인사청문회를 위해 재경부가 국회에 제출한 자료에서 "대외불확실성, 우리경제 구조적 문제에 대응한 재정의 
적극적 역할이 필요하다"고 밝혔다.  그러면서 그는 "재정의 지속가능성 제고를 위한 제도적 장치가 필요하다는 의견에 공감한다"면서 "국가채무·의무지출의 과도한 증가는 
재정여력을 제약하고, 잠재성장률과 미래세대 부담에 부정적 영향을 미칠 수 있다"고 덧붙였다.  다만 "세계 각국도 코로나 이후 재정준칙 적용을 유예·완화하는 중인 점도 고려할 필요가 있다"며 "적극적 재정 역할과 재정의 
지속가능성 확보는 성과중심 재정운용 등을 통해 조화롭게 추진 가능하다"고 강조했다.  공급능력 확충 등 성과를 낼 수 있는 분야에 재정을 투입하면 성장과 재정의 선순환을 구현할 수 있다는 지론도 펼쳤다.  이 후보자는 이재명 대통령 취임 후 정부의 재정 운용이 "성과를 내는 것으로 판단된다"며 올해와 내년 예산의 경우 "잠재성장률 
확충·양극화 완화 등 구조적 문제 대응에 초점을 두고 재정을 적극적으로 운용하고 있다"고 설명했다.  그는 코로나19 확산 시절 재경부의 전신인 기획재정부 경제정책국장 및 차관보 등으로서 민생·경기 대응 등의 업무를 수행한 경험을 
돌아보고서 "당시 재정·금융 지원은 가계소득과 소상공인의 경영을 뒷받침하고, 소비 위축과 금융시장 불안을 완화하는 데 기여했다"고 
의미를 부여했다.  다만 "코로나 시기 중소기업·소상공인 대상 금융지원으로 부채가 빠르게 증가한 측면도 있다"고 짚었다. 이에 대응해 금리 상승기 
취약차주 부담 경감을 위한 채무조정 활성화, 중소기업·소상공인 지원 확대 등을 추진 중이라고 덧붙였다. (서울=연합뉴스) 이형일 부총리 겸 재정경제부 장관 후보자가 7일 추석민생안정 대책의 일환으로 서울 강서구 까치산시장을 방문해 물가를 
점검하고 소상공인들의 애로사항을 청취하고 있다. 2026.9.7 [재정경제부 제공. 재판매 및 DB 금지] photo@yna.co.kr  잠재성장률, 양극화, 민생 등을 현안으로 꼽았다.  이 후보자는 "부총리로 취임하게 된다면 잠재성장률 반등과 양극화 축소를 최우선 과제로 부처 간 협업을 강화해 정책의 속도와 추진력을 
높이겠다"고 각오를 다졌다.  특히 양극화의 경우 여러 경제·사회적 요인이 누적·복합적 작용하면서 여러 형태로 발생하고 있다고 진단하고서 이를 극복하기 위해 
"경제·산업 및 사회 전반의 구조개혁을 동시에 적극 추진겠다"고 의지를 표명했다.  공적연금을 국고로 지원하는 것이 제도의 안정적 운영과 가입자 부담 완화, 취약계층 보호 등에 기여할 수 있다고 봤다. 다만 "적자국채 
발행 등을 통한 재정투입은 국가채무가 증가하는 상황에서 국가 재정에 부담으로 작용할 수 있어 재정여건, 재정지출 우선순위 등을 
종합적으로 고려할 필요가 있다"고 조건을 달았다.  석유 최고가격제가 "국민들의 유류비 부담을 경감시키고 급격한 물류비 상승을 방어하는 안전판"이라고 규정했다. 다만 중동 불확실성이 
해소되고 국제유가 및 국내 석유류 가격이 안정되는 즉시 해제를 검토할 것이라고 예고했다.  이 후보자는 "성장·고용·생산성 및 재정에 하방 압력으로 작용할 것"이라고 저출생·고령화·생산가능인구 감소를 우려했다.  이런 가운데 인공지능 전환이 한국 경제에 도전이자 기회가 될 수 있으므로 부총리로 취임하면 경제 도약의 발판으로 삼을 수 있도록 
최선을 다하겠다고 포부를 밝혔다.  구윤철 현 부총리 겸 재정경제부 장관에 관해선 "계엄 이후 어려웠던 우리 경제의 회복과 정상화와 함께, 인공지능(AI) 대전환 등을 
통한 잠재성장률 반등과 양극화 극복 등 대도약을 위한 기반 마련에 힘쓰셨다"고 평가했다.  sewonlee@yna.co.kr 제보는 카카오톡 okjebo &lt;저작권자(c) 연합뉴스, 무단 전재-재배포, AI 학습 및 활용 금지&gt; 2026/09/13 05:30 송고2026년09월13일 05시30분 송고</v>
      </c>
    </row>
    <row r="16" spans="1:6" x14ac:dyDescent="0.2">
      <c r="D16" s="3" t="str">
        <f ca="1">IFERROR(__xludf.DUMMYFUNCTION("""COMPUTED_VALUE"""),"의혹공세' 韓존재감에 복당론 띄우는 친한계…당권파는 '불편'")</f>
        <v>의혹공세' 韓존재감에 복당론 띄우는 친한계…당권파는 '불편'</v>
      </c>
      <c r="E16" s="4" t="str">
        <f ca="1">IFERROR(__xludf.DUMMYFUNCTION("""COMPUTED_VALUE"""),"https://www.yna.co.kr/view/AKR20260912045800001?section=politics/all")</f>
        <v>https://www.yna.co.kr/view/AKR20260912045800001?section=politics/all</v>
      </c>
      <c r="F16" s="3" t="str">
        <f ca="1">IFERROR(__xludf.DUMMYFUNCTION("TEXTJOIN("" "", TRUE, IMPORTXML(E16, ""//*[@id='articleWrap']//p""))"),"(서울=연합뉴스) 국민의힘 장동혁 대표와 무소속 한동훈 의원이 25일 서울 중구 대한상공회의소에서 열린 문화미래리포트 2026에서 
악수하고 있다. 2026.8.25 [문화일보 제공. 재판매 및 DB 금지] photo@yna.co.kr  (서울=연합뉴스) 권희원 조다운 기자 = 무소속 한동훈 의원이 최근 김승원 법무부 장관 후보자 인사 검증과 국회 대정부질문 등에서 
존재감을 드러내면서 한 의원을 바라보는 국민의힘 내부에선 복잡한 속내가 엿보인다.  한"&amp;" 후보자가 청문 정국에서 검사 출신으로서 특유의 장기를 발휘해 김 후보자의 '저격수'로 나서며 공세를 주도했다는 평가에는 당내 
이견이 없지만, 당에서 제명된 한 의원과 관계를 어떻게 설정할지를 놓고서는 계파 간 입장차가 드러나고 있어서다. (서울=연합뉴스) 황광모 기자 = 무소속 한동훈 의원이 11일 국회에서 전날 본인의 기자회견 도중 논란이 됐던 '총리실 직원 회견 
개입'과 관련해 입장을 말하고 있다.   한 의원은 이날 국무조정실 1차장이 해명을"&amp;" 위해 본인의 의원회관 내 사무실을 방문했다며 관련 직원의 파면과 총리의 정식 사과를 
촉구했다.  이와 관련해 한성숙 국무총리는 11일 대정부 질문에서 한동훈 의원의 국회 기자회견에 총리실 직원이 신분을 드러내지 않고 참여한 것과 
관련, ""일반인이라고 답하면서 불필요한 오해와 논란을 초래한 점에 대해 한 의원과 국민 여러분께 유감의 말씀을 드린다""고 말했다. 
2026.9.11 hkmpooh@yna.co.kr  ◇ 친한계, 韓존재감 앞세워 복당 "&amp;"요구  6월 국회의원 보궐선거에서 당선된 한 의원은 첫 여의도 무대인 정기국회에서 이른바 '김승원 저격수'로 활약하고 있다.  한 의원은 지난달 31일 예산결산특별위원회에서 김 후보자의 '신약 임상시험 승인 부정 청탁 의혹'을 처음 제기한 것을 시작으로 김 
후보자와 브로커 양모 씨 간 녹취록을 연일 공개하며 김 후보자에 대한 공세를 주도해오고 있어서다.  한 의원은 양씨가 사건 당시 김 후보자를 '오빠'로 부를 정도로 친밀한 관계였다는 사실과 김 후보"&amp;"자가 양씨의 청탁을 그대로 
식약처장에게 전달한 문자·통화 내역 등을 공개하면서 여론의 이목을 집중시키는 데 성공했다는 평가를 받고 있다.  한 의원이 연이은 폭로로 공세를 주도하자 당내에서는 친한(친한동훈)계를 중심으로 한 의원을 인사청문회 청문위원으로 참여할 수 있도록 
해 '협공'해야 한다는 목소리가 나온 바 있다.  친한계 안상훈 의원은 최근 페이스북 글에서 ""사사로운 감정과 당내 셈법을 버리고 여당의 후안무치에 함께 맞서 싸워야 한다. 한동훈"&amp;"이 
공 세우는 게 배 아프냐는 말을 들어서야 되겠냐""고 지적했다.  나아가 이참에 한 의원을 복당시켜야 한다는 주장도 나온 상태다.  친한계로 분류되는 우재준 청년최고위원은 지난 10일 최고위원회의에서 한 의원에 대한 징계를 취소하고 국민의힘 당적을 회복시켜 
청문위원으로 넣어야 한다고 주장했다. (서울=연합뉴스) 이동해 기자 = 국민의힘 장동혁 대표가 10일 국회에서 열린 최고위원회의에서 물을 마시고 있다. 2026.9.10 
eastsea@yna"&amp;".co.kr  ◇ 당권파는 '불편'…당 일각서도 ""협공과 복당은 별개""  당권파 지도부는 한 의원에 여론의 관심이 쏠리는 상황은 물론 이를 이유로 당내에서 한 의원 복당 요구까지 나오는 것에 대해 불편한 
기류를 보이고 있다.  한 의원의 공격력을 높게 평가하면서도 '범야권' 연대를 도모할 줄 아는 모습은 보여주지 못했다는 것이다.  한 당권파 의원은 연합뉴스와의 통화에서 ""(복당을 원한다면) 기본적으로 공조, 즉 당과 함께하겠다는 의지가 읽혀야 "&amp;"한다""며 ""그러나 
적절한 선에서 진영을 짜고 연합 전선을 펼치지는 못하면서 기존의 정치 문법과 다르게 움직이고 있다""고 비판했다.  박성훈 수석대변인도 전날 기자들과 만난 자리에서 ""인사청문회는 특정인을 '스포트라이트'하는 자리라고 생각하지 않는다""며 ""국민을 위한 
것은 특정인을 위한 '개인플레이'가 아니다. 청문회에서 국민의힘의 유능한 '팀플레이'를 확실히 보여줄 것""이라고 말했다.  앞서 장동혁 대표는 김 후보자의 의혹과 관련, 지난"&amp;" 8일 ""자꾸 '오빠'를 강조하는 것은 김 후보자에 대한 본질을 흐릴 수 있다""는 
말을 하기도 했다.  이는 신약 로비 의혹이 어떤 결과를 빚었는지를 집중적으로 봐야 한다는 메시지이지만, 김 후보자를 향해 이른바 오빠 게이트를 주장하는 
한 의원을 견제하기 위한 측면도 있다는 해석이 정치권에서 나왔다.  당내에는 '당원 게시판' 사건 수사와 징계, 당내 계파 문제 등이 걸림돌로 남아있는 만큼 곧바로 한 의원의 복당을 논의하는 것은 
무리라는 의견도"&amp;" 나온다.   한 중진 의원은 연합뉴스와의 통화에서 ""김 후보자 낙마라는 목표를 위해선 한 의원이 청문위원에 들어갈 필요가 있다""면서도 ""다만 
복당은 별개의 문제다. 의정 활동을 당적 복귀로 바로 연결 짓기에는 당내에서 아직 정리되지 않은 감정들이 많이 남아있다""고 전했다.  hee1@yna.co.kr 제보는 카카오톡 okjebo &lt;저작권자(c) 연합뉴스, 무단 전재-재배포, AI 학습 및 활용 금지&gt; 2026/09/13 05:00 송고2026"&amp;"년09월13일 05시00분 송고")</f>
        <v>(서울=연합뉴스) 국민의힘 장동혁 대표와 무소속 한동훈 의원이 25일 서울 중구 대한상공회의소에서 열린 문화미래리포트 2026에서 
악수하고 있다. 2026.8.25 [문화일보 제공. 재판매 및 DB 금지] photo@yna.co.kr  (서울=연합뉴스) 권희원 조다운 기자 = 무소속 한동훈 의원이 최근 김승원 법무부 장관 후보자 인사 검증과 국회 대정부질문 등에서 
존재감을 드러내면서 한 의원을 바라보는 국민의힘 내부에선 복잡한 속내가 엿보인다.  한 후보자가 청문 정국에서 검사 출신으로서 특유의 장기를 발휘해 김 후보자의 '저격수'로 나서며 공세를 주도했다는 평가에는 당내 
이견이 없지만, 당에서 제명된 한 의원과 관계를 어떻게 설정할지를 놓고서는 계파 간 입장차가 드러나고 있어서다. (서울=연합뉴스) 황광모 기자 = 무소속 한동훈 의원이 11일 국회에서 전날 본인의 기자회견 도중 논란이 됐던 '총리실 직원 회견 
개입'과 관련해 입장을 말하고 있다.   한 의원은 이날 국무조정실 1차장이 해명을 위해 본인의 의원회관 내 사무실을 방문했다며 관련 직원의 파면과 총리의 정식 사과를 
촉구했다.  이와 관련해 한성숙 국무총리는 11일 대정부 질문에서 한동훈 의원의 국회 기자회견에 총리실 직원이 신분을 드러내지 않고 참여한 것과 
관련, "일반인이라고 답하면서 불필요한 오해와 논란을 초래한 점에 대해 한 의원과 국민 여러분께 유감의 말씀을 드린다"고 말했다. 
2026.9.11 hkmpooh@yna.co.kr  ◇ 친한계, 韓존재감 앞세워 복당 요구  6월 국회의원 보궐선거에서 당선된 한 의원은 첫 여의도 무대인 정기국회에서 이른바 '김승원 저격수'로 활약하고 있다.  한 의원은 지난달 31일 예산결산특별위원회에서 김 후보자의 '신약 임상시험 승인 부정 청탁 의혹'을 처음 제기한 것을 시작으로 김 
후보자와 브로커 양모 씨 간 녹취록을 연일 공개하며 김 후보자에 대한 공세를 주도해오고 있어서다.  한 의원은 양씨가 사건 당시 김 후보자를 '오빠'로 부를 정도로 친밀한 관계였다는 사실과 김 후보자가 양씨의 청탁을 그대로 
식약처장에게 전달한 문자·통화 내역 등을 공개하면서 여론의 이목을 집중시키는 데 성공했다는 평가를 받고 있다.  한 의원이 연이은 폭로로 공세를 주도하자 당내에서는 친한(친한동훈)계를 중심으로 한 의원을 인사청문회 청문위원으로 참여할 수 있도록 
해 '협공'해야 한다는 목소리가 나온 바 있다.  친한계 안상훈 의원은 최근 페이스북 글에서 "사사로운 감정과 당내 셈법을 버리고 여당의 후안무치에 함께 맞서 싸워야 한다. 한동훈이 
공 세우는 게 배 아프냐는 말을 들어서야 되겠냐"고 지적했다.  나아가 이참에 한 의원을 복당시켜야 한다는 주장도 나온 상태다.  친한계로 분류되는 우재준 청년최고위원은 지난 10일 최고위원회의에서 한 의원에 대한 징계를 취소하고 국민의힘 당적을 회복시켜 
청문위원으로 넣어야 한다고 주장했다. (서울=연합뉴스) 이동해 기자 = 국민의힘 장동혁 대표가 10일 국회에서 열린 최고위원회의에서 물을 마시고 있다. 2026.9.10 
eastsea@yna.co.kr  ◇ 당권파는 '불편'…당 일각서도 "협공과 복당은 별개"  당권파 지도부는 한 의원에 여론의 관심이 쏠리는 상황은 물론 이를 이유로 당내에서 한 의원 복당 요구까지 나오는 것에 대해 불편한 
기류를 보이고 있다.  한 의원의 공격력을 높게 평가하면서도 '범야권' 연대를 도모할 줄 아는 모습은 보여주지 못했다는 것이다.  한 당권파 의원은 연합뉴스와의 통화에서 "(복당을 원한다면) 기본적으로 공조, 즉 당과 함께하겠다는 의지가 읽혀야 한다"며 "그러나 
적절한 선에서 진영을 짜고 연합 전선을 펼치지는 못하면서 기존의 정치 문법과 다르게 움직이고 있다"고 비판했다.  박성훈 수석대변인도 전날 기자들과 만난 자리에서 "인사청문회는 특정인을 '스포트라이트'하는 자리라고 생각하지 않는다"며 "국민을 위한 
것은 특정인을 위한 '개인플레이'가 아니다. 청문회에서 국민의힘의 유능한 '팀플레이'를 확실히 보여줄 것"이라고 말했다.  앞서 장동혁 대표는 김 후보자의 의혹과 관련, 지난 8일 "자꾸 '오빠'를 강조하는 것은 김 후보자에 대한 본질을 흐릴 수 있다"는 
말을 하기도 했다.  이는 신약 로비 의혹이 어떤 결과를 빚었는지를 집중적으로 봐야 한다는 메시지이지만, 김 후보자를 향해 이른바 오빠 게이트를 주장하는 
한 의원을 견제하기 위한 측면도 있다는 해석이 정치권에서 나왔다.  당내에는 '당원 게시판' 사건 수사와 징계, 당내 계파 문제 등이 걸림돌로 남아있는 만큼 곧바로 한 의원의 복당을 논의하는 것은 
무리라는 의견도 나온다.   한 중진 의원은 연합뉴스와의 통화에서 "김 후보자 낙마라는 목표를 위해선 한 의원이 청문위원에 들어갈 필요가 있다"면서도 "다만 
복당은 별개의 문제다. 의정 활동을 당적 복귀로 바로 연결 짓기에는 당내에서 아직 정리되지 않은 감정들이 많이 남아있다"고 전했다.  hee1@yna.co.kr 제보는 카카오톡 okjebo &lt;저작권자(c) 연합뉴스, 무단 전재-재배포, AI 학습 및 활용 금지&gt; 2026/09/13 05:00 송고2026년09월13일 05시00분 송고</v>
      </c>
    </row>
    <row r="17" spans="4:6" x14ac:dyDescent="0.2">
      <c r="D17" s="3" t="str">
        <f ca="1">IFERROR(__xludf.DUMMYFUNCTION("""COMPUTED_VALUE"""),"인사청문 슈퍼위크 개막…용혜인 낙마위기속 김승원 생환여부 주목")</f>
        <v>인사청문 슈퍼위크 개막…용혜인 낙마위기속 김승원 생환여부 주목</v>
      </c>
      <c r="E17" s="4" t="str">
        <f ca="1">IFERROR(__xludf.DUMMYFUNCTION("""COMPUTED_VALUE"""),"https://www.yna.co.kr/view/AKR20260912036800001?section=politics/all")</f>
        <v>https://www.yna.co.kr/view/AKR20260912036800001?section=politics/all</v>
      </c>
      <c r="F17" s="3" t="str">
        <f ca="1">IFERROR(__xludf.DUMMYFUNCTION("TEXTJOIN("" "", TRUE, IMPORTXML(E17, ""//*[@id='articleWrap']//p""))"),"김승원 법무부 장관 후보자(왼쪽부터), 용혜인 성평등가족부 장관 후보자, 이형일 부총리 겸 재정경제부 장관 후보자, 강신철 국방부 장관 
후보자, 이소영 중소벤처기업부 장관 후보자, 홍지선 국토교통부 장관 후보자 [연합뉴스 자료사진]  (서울=연합뉴스) 최평천 권희원 기자 = 국회가 금주 인사청문회 슈퍼위크에 들어가면서 8·30 개각에 따른 인사청문 정국이 변곡점을 
맞는다.  민심의 대이동이 이뤄지는 추석(25일) 연휴를 앞두고 국회가 각 부처 장관 "&amp;"후보자들을 검증대에 세워 인사청문을 진행하면서 조성될 
여론이 향후 정국의 흐름을 가를 것으로 전망되기 때문이다.  이에 따라 여야의 공수 대결이 치열하게 전개될 것으로 전망되는 가운데 정치권의 관심은 김승원 법무부 장관 후보자의 생환 여부에 쏠리고 
있다.  야권은 물론 여권에서도 용혜인 성평등가족부 장관 후보자의 낙마 가능성을 높게 보면서 사실상 김 후보자를 사수할 수 있느냐가 여야의 제 
1 전장이자 이번 인사청문 정국의 최대 관건으로 여겨지고 있"&amp;"는 것이다.  나아가 국민의힘은 다른 장관 후보자에 대해서도 의혹 공세 수위를 높이며 전선을 확대하고 있다. 이에 대응한 민주당의 방어 영역도 
덩달아 넓어지는 형국이다.  인사청문회는 김성수 대법관 후보자(14일)를 시작으로 15일 이형일 경제부총리·김승원 법무부·이소영 중소벤처기업부 장관 후보자, 
16일 강신철 국방부·홍지선 국토교통부 장관 후보자, 17일 최길수 특별감찰관 후보자 등의 순으로 진행된다. (서울=연합뉴스) 임화영 기자 = 김승원 법"&amp;"무부 장관 후보자가 11일 서울 종로구 적선현대빌딩에 마련된 인사청문회 준비 사무실로 
출근하고 있다. 2026.9.11 hwayoung7@yna.co.kr  ◇ 김승원, 신약 로비 의혹 고비 넘나…野 파상공세에 與 프레임 전환 시도  김 후보자에 대해 국민의힘을 비롯한 보수 야권은 제넨셀 신약 임상시험 승인 청탁 의혹, 주가 조작 의혹, 가족 인건비 특혜 의혹 등을 
제기하면서 파상 공세를 이어가고 있는 상태다.  청탁 의혹은 김 후보자가 2021년 "&amp;"브로커 양모 씨의 부탁을 받고 식약처장에게 제넨셀의 코로나19 치료제 임상시험 계획 승인을 신속히 
처리해달라고 요청하고, 그 대가로 후원금 500만원을 받기로 약속한 혐의로 2024년 12월 기소유예 처분을 받은 것에 근거하고 있다.  국민의힘은 기소유예가 잘못된 검찰의 처분이었고, 김 후보자가 양씨와 나눈 대화 등을 근거로 김 후보자가 적극적인 '불법 로비' 행위를 
했다며 국정조사와 특검 추진까지 촉구하고 나섰다.  김 후보자가 신약 승인이 나면 "&amp;"양씨 측이 거액의 이익을 얻는다는 사실 알고 있었고, 관련 업체 주가 조작으로 소액 주주들이 큰 피해를 
봤다는 주장이다.  또 김 후보자가 해당 사건의 구속영장 심사를 맡았던 판사와 친밀한 관계를 유지해왔다는 의혹도 제기했다.  신약 청탁 이슈는 무소속 한동훈 의원이 관련 녹취록을 공개하면서 의혹 확산을 주도해 왔다.  특히 녹취록에 ""오빠"", ""보고 싶어 눈물"" 등과 같은 자극적인 표현이 들어가면서 여론의 주목도가 높아진 상태다.  이에 대응"&amp;"해 민주당은 메신저인 한 의원 때리기로 프레임 전환을 시도하는 중이다.  한 의원이 사건 관련자들의 통화 녹취 등을 폭로한 것과 관련해 법무부 장관을 지낸 그가 검찰로부터 불법적으로 수사 자료를 '상납'받은 
것이라며 역공에 나선 것이다.  로비 의혹 자체에 대해서는 이미 윤석열 정부 검찰이 중대한 혐의로 보기 어렵다는 판단에 따라 기소 유예로 종결한 사건이라는 점을 
부각하고 있다.  민주당은 김 후보자의 식약처장 연락 역시 청탁금지법상 허용된 '공익"&amp;" 민원'이라는 입장을 유지하고 있다.  청문회에서는 이재명 대통령 재판 공소 취소 논란도 도마 위에 오를 것으로 보인다.  국민의힘은 김 후보자가 당 '이재명 대통령 사건 공소취소 의원 모임'의 공동대표'라는 점을 이유로 이번 인사의 배경에 공소취소 목적이 
있다고 몰아붙이고 있는 상태다.  반면 민주당은 김 후보자가 '공소취소 권한이 없고 검찰총장을 통해 지휘할 생각도 없다'는 입장을 밝힌 만큼 법무부 장관 임명에 문제가 
없다는 입장이다.  이와 관"&amp;"련, 김민석 대표는 최근 ""지켜보면 볼수록 잘된 인사""라고 평가하기도 했다. (서울=연합뉴스) 김주형 기자 = 용혜인 성평등가족부 장관 후보자가 11일 서울 서대문구에 마련된 인사청문회 준비 사무실로 출근하며 
취재진에게 질문을 받고 있다. 2026.9.11 kjhpress@yna.co.kr  ◇ 청문회 일정도 못 잡은 용혜인…與 내부도 낙마 가능성 무게  각종 특혜론과 당 사당화 의혹 등으로 논란의 중심에 선 용 후보자의 경우 아직 인사청문회 일정"&amp;"조차 잡지 못한 상태다.  표면적인 이유는 여야간 청문회 일정 및 증인 채택 문제 등에 대한 이견이다.  그러나 내부적으로는 여당인 민주당에서도 용 후보자가 자진 사퇴를 통해 여권의 부담을 덜어주길 바라는 기류가 확산한 상태다. 사실상 
손절 수순에 들어갔다는 평가까지 나온다.  이런 기류에 비춰 용 후보자가 낙마할 가능성에 무게를 싣는 시각이 정치권에선 갈수록 많아졌다.  다만 청와대는 국회 인사청문회는 진행돼야 한다는 원칙적 입장을 견지하고 있다. "&amp;" 만약 청문회가 열린다면 증인·참고인 출석 문제 등을 고려할 때 시한(22일) 직전인 21일이 될 가능성이 있다.  이를 앞두고 국민의힘은 용 후보자가 위성정당을 통해 두 차례 비례대표로 국회에 입성했을 뿐 아니라 기본소득당의 국고보조금 유지를 위해 
장관 겸직 의사를 고수하고 있다며 연일 십자포화를 퍼붓고 있다.  또 배우자를 당직자로 채용해 급여를 지급하는 등 기본소득당이 사실상 용 후보자 '1인 정당'이라는 지적과 기본소득당의 배후에 노동당 
'언"&amp;"더조직'이 존재한다는 의혹 등을 앞세워 지명 철회를 압박하고 있다. (서울=연합뉴스) 황광모 기자 = 개혁신당 천하람 대표 권한대행이 10일 국회 소통관에서 강신철 국방부 장관 후보자 가족 부동산 투자 
의혹 관련 기자회견을 하고 있다. 2026.9.10 hkmpooh@yna.co.kr  ◇ 이형일·강신철·이소영·홍지선 '부동산' 공방…'딱지 제테크'·'비거주 갭투자' 논란  국민의힘은 강신철·이형일·이소영·홍지선 후보자 등에 대해서는 부동산 관련 의혹"&amp;"을 연결고리로 공세를 펴고 있다.  후보자들이 이재명 정부가 내놓은 실거주 중심 주택 정책에 역행하는 '비거주 1주택 갭투자', 위장전입 등과 같은 편법을 동원해 왔다는 
것이다.  특히 강 후보자의 경우 본인과 부친, 고모, 형까지 일가족 4명이 철거민 특별분양 자격을 취득한 것으로 알려지면서 '딱지 제테크' 
논란이 일었다.  또 이형일 후보자는 경기 과천의 아파트를 매입 후 17년간 보유하면서도 4개월 실거주하는 데 그쳤고, 이소영 후보자는 서울 "&amp;"서대문구 
아파트를 매입한 뒤 자신의 지역구에 전세로 살면서 7억원의 장부상 이익을 얻었다는 지적이 나왔다.  홍 후보자는 '기본주택' 도입을 추진했던 경기도 도시주택실장 재직 시절 주택담보대출에 더해 처가 돈까지 빌려 '영끌'로 서울 아파트를 
매입한 사실이 알려지며 논란이 됐다.  민주당은 이런 논란을 부각하려는 국민의힘의 공세를 흠집내기로 규정하면서 경험과 전문성 등을 고려할 때 해당 후보자들이 각 부처를 이끌 
적임자라는 입장을 강조하고 있다. "&amp;" hee1@yna.co.kr 제보는 카카오톡 okjebo &lt;저작권자(c) 연합뉴스, 무단 전재-재배포, AI 학습 및 활용 금지&gt; 2026/09/13 05:00 송고2026년09월13일 05시00분 송고")</f>
        <v>김승원 법무부 장관 후보자(왼쪽부터), 용혜인 성평등가족부 장관 후보자, 이형일 부총리 겸 재정경제부 장관 후보자, 강신철 국방부 장관 
후보자, 이소영 중소벤처기업부 장관 후보자, 홍지선 국토교통부 장관 후보자 [연합뉴스 자료사진]  (서울=연합뉴스) 최평천 권희원 기자 = 국회가 금주 인사청문회 슈퍼위크에 들어가면서 8·30 개각에 따른 인사청문 정국이 변곡점을 
맞는다.  민심의 대이동이 이뤄지는 추석(25일) 연휴를 앞두고 국회가 각 부처 장관 후보자들을 검증대에 세워 인사청문을 진행하면서 조성될 
여론이 향후 정국의 흐름을 가를 것으로 전망되기 때문이다.  이에 따라 여야의 공수 대결이 치열하게 전개될 것으로 전망되는 가운데 정치권의 관심은 김승원 법무부 장관 후보자의 생환 여부에 쏠리고 
있다.  야권은 물론 여권에서도 용혜인 성평등가족부 장관 후보자의 낙마 가능성을 높게 보면서 사실상 김 후보자를 사수할 수 있느냐가 여야의 제 
1 전장이자 이번 인사청문 정국의 최대 관건으로 여겨지고 있는 것이다.  나아가 국민의힘은 다른 장관 후보자에 대해서도 의혹 공세 수위를 높이며 전선을 확대하고 있다. 이에 대응한 민주당의 방어 영역도 
덩달아 넓어지는 형국이다.  인사청문회는 김성수 대법관 후보자(14일)를 시작으로 15일 이형일 경제부총리·김승원 법무부·이소영 중소벤처기업부 장관 후보자, 
16일 강신철 국방부·홍지선 국토교통부 장관 후보자, 17일 최길수 특별감찰관 후보자 등의 순으로 진행된다. (서울=연합뉴스) 임화영 기자 = 김승원 법무부 장관 후보자가 11일 서울 종로구 적선현대빌딩에 마련된 인사청문회 준비 사무실로 
출근하고 있다. 2026.9.11 hwayoung7@yna.co.kr  ◇ 김승원, 신약 로비 의혹 고비 넘나…野 파상공세에 與 프레임 전환 시도  김 후보자에 대해 국민의힘을 비롯한 보수 야권은 제넨셀 신약 임상시험 승인 청탁 의혹, 주가 조작 의혹, 가족 인건비 특혜 의혹 등을 
제기하면서 파상 공세를 이어가고 있는 상태다.  청탁 의혹은 김 후보자가 2021년 브로커 양모 씨의 부탁을 받고 식약처장에게 제넨셀의 코로나19 치료제 임상시험 계획 승인을 신속히 
처리해달라고 요청하고, 그 대가로 후원금 500만원을 받기로 약속한 혐의로 2024년 12월 기소유예 처분을 받은 것에 근거하고 있다.  국민의힘은 기소유예가 잘못된 검찰의 처분이었고, 김 후보자가 양씨와 나눈 대화 등을 근거로 김 후보자가 적극적인 '불법 로비' 행위를 
했다며 국정조사와 특검 추진까지 촉구하고 나섰다.  김 후보자가 신약 승인이 나면 양씨 측이 거액의 이익을 얻는다는 사실 알고 있었고, 관련 업체 주가 조작으로 소액 주주들이 큰 피해를 
봤다는 주장이다.  또 김 후보자가 해당 사건의 구속영장 심사를 맡았던 판사와 친밀한 관계를 유지해왔다는 의혹도 제기했다.  신약 청탁 이슈는 무소속 한동훈 의원이 관련 녹취록을 공개하면서 의혹 확산을 주도해 왔다.  특히 녹취록에 "오빠", "보고 싶어 눈물" 등과 같은 자극적인 표현이 들어가면서 여론의 주목도가 높아진 상태다.  이에 대응해 민주당은 메신저인 한 의원 때리기로 프레임 전환을 시도하는 중이다.  한 의원이 사건 관련자들의 통화 녹취 등을 폭로한 것과 관련해 법무부 장관을 지낸 그가 검찰로부터 불법적으로 수사 자료를 '상납'받은 
것이라며 역공에 나선 것이다.  로비 의혹 자체에 대해서는 이미 윤석열 정부 검찰이 중대한 혐의로 보기 어렵다는 판단에 따라 기소 유예로 종결한 사건이라는 점을 
부각하고 있다.  민주당은 김 후보자의 식약처장 연락 역시 청탁금지법상 허용된 '공익 민원'이라는 입장을 유지하고 있다.  청문회에서는 이재명 대통령 재판 공소 취소 논란도 도마 위에 오를 것으로 보인다.  국민의힘은 김 후보자가 당 '이재명 대통령 사건 공소취소 의원 모임'의 공동대표'라는 점을 이유로 이번 인사의 배경에 공소취소 목적이 
있다고 몰아붙이고 있는 상태다.  반면 민주당은 김 후보자가 '공소취소 권한이 없고 검찰총장을 통해 지휘할 생각도 없다'는 입장을 밝힌 만큼 법무부 장관 임명에 문제가 
없다는 입장이다.  이와 관련, 김민석 대표는 최근 "지켜보면 볼수록 잘된 인사"라고 평가하기도 했다. (서울=연합뉴스) 김주형 기자 = 용혜인 성평등가족부 장관 후보자가 11일 서울 서대문구에 마련된 인사청문회 준비 사무실로 출근하며 
취재진에게 질문을 받고 있다. 2026.9.11 kjhpress@yna.co.kr  ◇ 청문회 일정도 못 잡은 용혜인…與 내부도 낙마 가능성 무게  각종 특혜론과 당 사당화 의혹 등으로 논란의 중심에 선 용 후보자의 경우 아직 인사청문회 일정조차 잡지 못한 상태다.  표면적인 이유는 여야간 청문회 일정 및 증인 채택 문제 등에 대한 이견이다.  그러나 내부적으로는 여당인 민주당에서도 용 후보자가 자진 사퇴를 통해 여권의 부담을 덜어주길 바라는 기류가 확산한 상태다. 사실상 
손절 수순에 들어갔다는 평가까지 나온다.  이런 기류에 비춰 용 후보자가 낙마할 가능성에 무게를 싣는 시각이 정치권에선 갈수록 많아졌다.  다만 청와대는 국회 인사청문회는 진행돼야 한다는 원칙적 입장을 견지하고 있다.  만약 청문회가 열린다면 증인·참고인 출석 문제 등을 고려할 때 시한(22일) 직전인 21일이 될 가능성이 있다.  이를 앞두고 국민의힘은 용 후보자가 위성정당을 통해 두 차례 비례대표로 국회에 입성했을 뿐 아니라 기본소득당의 국고보조금 유지를 위해 
장관 겸직 의사를 고수하고 있다며 연일 십자포화를 퍼붓고 있다.  또 배우자를 당직자로 채용해 급여를 지급하는 등 기본소득당이 사실상 용 후보자 '1인 정당'이라는 지적과 기본소득당의 배후에 노동당 
'언더조직'이 존재한다는 의혹 등을 앞세워 지명 철회를 압박하고 있다. (서울=연합뉴스) 황광모 기자 = 개혁신당 천하람 대표 권한대행이 10일 국회 소통관에서 강신철 국방부 장관 후보자 가족 부동산 투자 
의혹 관련 기자회견을 하고 있다. 2026.9.10 hkmpooh@yna.co.kr  ◇ 이형일·강신철·이소영·홍지선 '부동산' 공방…'딱지 제테크'·'비거주 갭투자' 논란  국민의힘은 강신철·이형일·이소영·홍지선 후보자 등에 대해서는 부동산 관련 의혹을 연결고리로 공세를 펴고 있다.  후보자들이 이재명 정부가 내놓은 실거주 중심 주택 정책에 역행하는 '비거주 1주택 갭투자', 위장전입 등과 같은 편법을 동원해 왔다는 
것이다.  특히 강 후보자의 경우 본인과 부친, 고모, 형까지 일가족 4명이 철거민 특별분양 자격을 취득한 것으로 알려지면서 '딱지 제테크' 
논란이 일었다.  또 이형일 후보자는 경기 과천의 아파트를 매입 후 17년간 보유하면서도 4개월 실거주하는 데 그쳤고, 이소영 후보자는 서울 서대문구 
아파트를 매입한 뒤 자신의 지역구에 전세로 살면서 7억원의 장부상 이익을 얻었다는 지적이 나왔다.  홍 후보자는 '기본주택' 도입을 추진했던 경기도 도시주택실장 재직 시절 주택담보대출에 더해 처가 돈까지 빌려 '영끌'로 서울 아파트를 
매입한 사실이 알려지며 논란이 됐다.  민주당은 이런 논란을 부각하려는 국민의힘의 공세를 흠집내기로 규정하면서 경험과 전문성 등을 고려할 때 해당 후보자들이 각 부처를 이끌 
적임자라는 입장을 강조하고 있다.  hee1@yna.co.kr 제보는 카카오톡 okjebo &lt;저작권자(c) 연합뉴스, 무단 전재-재배포, AI 학습 및 활용 금지&gt; 2026/09/13 05:00 송고2026년09월13일 05시00분 송고</v>
      </c>
    </row>
    <row r="18" spans="4:6" x14ac:dyDescent="0.2">
      <c r="D18" s="3" t="str">
        <f ca="1">IFERROR(__xludf.DUMMYFUNCTION("""COMPUTED_VALUE"""),"통일부, 남북 단절에도 '기타 경협사업' 예산 1천515억 편성")</f>
        <v>통일부, 남북 단절에도 '기타 경협사업' 예산 1천515억 편성</v>
      </c>
      <c r="E18" s="4" t="str">
        <f ca="1">IFERROR(__xludf.DUMMYFUNCTION("""COMPUTED_VALUE"""),"https://www.yna.co.kr/view/AKR20260911114200001?section=politics/all")</f>
        <v>https://www.yna.co.kr/view/AKR20260911114200001?section=politics/all</v>
      </c>
      <c r="F18" s="3" t="str">
        <f ca="1">IFERROR(__xludf.DUMMYFUNCTION("TEXTJOIN("" "", TRUE, IMPORTXML(E18, ""//*[@id='articleWrap']//p""))"),"[연합뉴스 자료사진]  (서울=연합뉴스) 박수윤 기자 = 통일부가 내년 남북협력기금 예산안에서 사용처를 공개하지 않는 '기타 경제협력사업'에 
1천515억여원을 배정한 것으로 나타났다.  13일 국회 외교통일위원회 소속 국민의힘 김대식 의원이 통일부로부터 제출받은 자료에 따르면 올해 통일부 소관 예산안에서 남북협력기금은 
1조4천277억원 규모로 짜였다.  이 가운데 기타 경제협력사업 본예산은 1천789억2천500만원이 배정됐는데, 그중 단 0.09%("&amp;"1억6천만원)만 지난달 말까지 
집행됐다.  앞서 통일부가 지난 6월 총예산 3억5천만원 규모의 '민간 중심 한반도 평화관광협력 기반 구축' 사업을 시작하겠다고 예고한 뒤 해당 
사업이 일부 진행된 결과다.  이처럼 8월 말까지 올해 예산 집행률이 1%에 미치지 못했는데도 통일부는 2027년 예산안에서 기타 경제협력사업 예산을 
1천515억8천400만원 규모로 제출했다.  구체적인 세부 사업 내역과 집행 선행조건은 아직 국회에 보고되지 않았다.  통일부"&amp;" 관계자는 ""남북협력기금은 한반도 평화공존 정책을 구현하기 위해 남북관계 개선에 대한 의지를 보여주는 상징적 의미가 있고, 
교류협력 재개시에 대비한 예비적 성격을 띄고 있다""면서 ""향후 남북경협이 재개될 때를 대비해 기타 경제협력사업 예산을 편성했다""고 
설명했다.  다만 2019년 '하노이 노딜' 이후 북한이 남측과 교류를 일방적으로 차단한 상황에서 경협이 이른 시일 내 재개될지는 미지수이며, 
북한이 대화의 전제조건으로 경제 교류를 원하는 "&amp;"상황도 아니라는 평가도 있다.  나아가 사용처 공개 의무가 없는 기타 경제협력사업에 예산을 수천억 원씩 잡아두면 자칫 정부가 필요할 때 마음대로 빼 쓰는 '쌈짓돈'이 
될 수 있다는 우려가 있다고 김 의원은 지적했다.  그는 ""국민 혈세인 남북협력기금에 대한 국회의 견제와 검증이 약화돼선 안 된다. 비공개라는 이유로 예산까지 깜깜이가 될 수는 
없다""면서 ""국정감사와 예산 심사에서 왜 올해 거의 집행하지 못한 사업에 내년에도 1천500억원이 넘는 "&amp;"예산을 편성했는지 실제 집행 
가능성과 구체적인 사용 계획을 철저히 따져 묻겠다""고 말했다. (서울=연합뉴스) 황광모 기자 = 정동영 통일부 장관이 10일 국회에서 열린 제439차 정기회 본회의 외교ㆍ통일ㆍ안보 분야 대정부 
질문에 출석해 더불어민주당 이광재 의원의 질의에 답하고 있다. 2026.9.10 hkmpooh@yna.co.kr  clap@yna.co.kr 제보는 카카오톡 okjebo &lt;저작권자(c) 연합뉴스, 무단 전재-재배포, AI 학습 및"&amp;" 활용 금지&gt; 2026/09/13 05:00 송고2026년09월13일 05시00분 송고")</f>
        <v>[연합뉴스 자료사진]  (서울=연합뉴스) 박수윤 기자 = 통일부가 내년 남북협력기금 예산안에서 사용처를 공개하지 않는 '기타 경제협력사업'에 
1천515억여원을 배정한 것으로 나타났다.  13일 국회 외교통일위원회 소속 국민의힘 김대식 의원이 통일부로부터 제출받은 자료에 따르면 올해 통일부 소관 예산안에서 남북협력기금은 
1조4천277억원 규모로 짜였다.  이 가운데 기타 경제협력사업 본예산은 1천789억2천500만원이 배정됐는데, 그중 단 0.09%(1억6천만원)만 지난달 말까지 
집행됐다.  앞서 통일부가 지난 6월 총예산 3억5천만원 규모의 '민간 중심 한반도 평화관광협력 기반 구축' 사업을 시작하겠다고 예고한 뒤 해당 
사업이 일부 진행된 결과다.  이처럼 8월 말까지 올해 예산 집행률이 1%에 미치지 못했는데도 통일부는 2027년 예산안에서 기타 경제협력사업 예산을 
1천515억8천400만원 규모로 제출했다.  구체적인 세부 사업 내역과 집행 선행조건은 아직 국회에 보고되지 않았다.  통일부 관계자는 "남북협력기금은 한반도 평화공존 정책을 구현하기 위해 남북관계 개선에 대한 의지를 보여주는 상징적 의미가 있고, 
교류협력 재개시에 대비한 예비적 성격을 띄고 있다"면서 "향후 남북경협이 재개될 때를 대비해 기타 경제협력사업 예산을 편성했다"고 
설명했다.  다만 2019년 '하노이 노딜' 이후 북한이 남측과 교류를 일방적으로 차단한 상황에서 경협이 이른 시일 내 재개될지는 미지수이며, 
북한이 대화의 전제조건으로 경제 교류를 원하는 상황도 아니라는 평가도 있다.  나아가 사용처 공개 의무가 없는 기타 경제협력사업에 예산을 수천억 원씩 잡아두면 자칫 정부가 필요할 때 마음대로 빼 쓰는 '쌈짓돈'이 
될 수 있다는 우려가 있다고 김 의원은 지적했다.  그는 "국민 혈세인 남북협력기금에 대한 국회의 견제와 검증이 약화돼선 안 된다. 비공개라는 이유로 예산까지 깜깜이가 될 수는 
없다"면서 "국정감사와 예산 심사에서 왜 올해 거의 집행하지 못한 사업에 내년에도 1천500억원이 넘는 예산을 편성했는지 실제 집행 
가능성과 구체적인 사용 계획을 철저히 따져 묻겠다"고 말했다. (서울=연합뉴스) 황광모 기자 = 정동영 통일부 장관이 10일 국회에서 열린 제439차 정기회 본회의 외교ㆍ통일ㆍ안보 분야 대정부 
질문에 출석해 더불어민주당 이광재 의원의 질의에 답하고 있다. 2026.9.10 hkmpooh@yna.co.kr  clap@yna.co.kr 제보는 카카오톡 okjebo &lt;저작권자(c) 연합뉴스, 무단 전재-재배포, AI 학습 및 활용 금지&gt; 2026/09/13 05:00 송고2026년09월13일 05시00분 송고</v>
      </c>
    </row>
    <row r="19" spans="4:6" x14ac:dyDescent="0.2">
      <c r="D19" s="3" t="str">
        <f ca="1">IFERROR(__xludf.DUMMYFUNCTION("""COMPUTED_VALUE"""),"김민석 ""지분나누기 없다""…혁신당 ""우당을 가상의 적으로 규정""(종합)")</f>
        <v>김민석 "지분나누기 없다"…혁신당 "우당을 가상의 적으로 규정"(종합)</v>
      </c>
      <c r="E19" s="4" t="str">
        <f ca="1">IFERROR(__xludf.DUMMYFUNCTION("""COMPUTED_VALUE"""),"https://www.yna.co.kr/view/AKR20260912035351001?section=politics/all")</f>
        <v>https://www.yna.co.kr/view/AKR20260912035351001?section=politics/all</v>
      </c>
      <c r="F19" s="3" t="str">
        <f ca="1">IFERROR(__xludf.DUMMYFUNCTION("TEXTJOIN("" "", TRUE, IMPORTXML(E19, ""//*[@id='articleWrap']//p""))"),"(청주=연합뉴스) 김형우 기자 = 더불어민주당 김민석 대표가 11일 오전 충북도청 신관6층 문화홀에서 열린 충북 최고위원회의에서 
발언하고 있다. 2026.9.11 vodcast@yna.co.kr  (서울=연합뉴스) 최평천 기자 = 더불어민주당 김민석 대표는 12일 ""우리 당은 진보 정당과 개인, 중도적 개인, 보수적이면서 
합리적이고 유능한 분들을 다 함께 끌어안는 대통합의 길을 갈 것""이라고 밝혔다.  김 대표는 이날 평택을 지역위원회 '오픈데이"&amp;"' 행사에 참석해 ""보수와 중도를 끌어안는 구조적인 다수의 진보정당 맏형의 길을 민주당은 
갈 것이다. 진보 개혁정당, 중도보수 세력과 연대하고 대화하겠다""이라면서 이같이 밝혔다.  그는 ""사회민주당, 진보당, 기본소득당 같은 정당과 연대할 것이고, 조국혁신당과는 합당의 길을 갈지, 연대의 길을 갈지 논의해서 
결정할 것""이라며 ""합당하든 연대하든 대원칙은 경쟁력""이라고 말했다.  이어 ""어떤 지분을 놓고 나누는 시대는 지났다. 그것은 구정"&amp;"치""라면서 ""우리 정당과 다른 당이 연대를 해도 경쟁력으로 단일화가 될 
것이며, 당내에서도 경쟁력으로 후보가 될 것""이라고 강조했다.  평택을은 6·3 재선거에서 민주당 김용남 평택을 지역위원장과 혁신당 조국 혁신정책연구원장 등이 경쟁, 민주·진보 진영이 분열되면서 
국민의힘 유의동 의원이 당선된 곳이다.  김 대표는 이날도 지난 선거에서 조 원장과 경쟁을 벌였던 김 위원장에 대한 지지 의사를 밝혔다. 김 대표는 대표 취임 직후 김 
위원장을 당"&amp;" 정책위 상임부의장으로 임명한 바 있다.  김 대표는 ""정부와 당의 생각은 지난 대선 때 보수 진영에 계셨던 분들을 이용하고 끝내자는 것이 아니라 능력 있는 좋은 분들을 모셔서 
정치의 지평을 넓히자는 것""이라며 ""진보 개혁과 중도 보수까지 포괄하는 큰 들판을 만들자는 것""이라고 강조했다.  그는 ""그런 점에서 김 위원장 같은 분들이 우리 정치, 우리 당, 우리 정부에서 더 크게 역할을 하기를 기대하고, 도울 것""이라며 
""김 위원장이 평택"&amp;"에서 성장, 공동체 배려를 이해하는 정치를 펼칠 것으로 기대한다""고 덧붙였다.  같은 당 송영길 의원은 이날 행사에서 지난 선거 때 '국민의힘 제로'를 슬로건으로 내걸었던 조 원장을 거론하며 ""갑자기 민주당 
험지라고 해서 '국힘 제로'를 만들겠다고 오신 분이 있었는데 나와서 '민주당 제로'를 만들고 갔다""고 비판했다.  그는 또 ""지금 여러 가지로 당과 이재명 정부가 좀 어려움에 봉착해 있다""면서 범여권 논객인 유시민 작가의 ABC론과 관련,"&amp;" ""이럴 
때 진짜 코어 지지층이 뭔지, 진짜 B그룹이 뭔지 보여줘야 된다""고 강조했다.  이에 대해 혁신당은 김 대표의 발언을 거론하며 ""우당을 지분이나 챙기려는 세력이자 가상의 적으로 규정하는 행태""라며 반발했다.  혁신당 임명희 대변인은 논평에서 ""당내 리더십 위기에 시선을 외부로 돌리려는 정치공작에 공감할 국민은 없다""고 말한 뒤 ""민주당이 
주장하는 '경쟁력 중심의 연대와 통합'은 힘자랑에 불과한 말장난""이라며 ""민주당 의석수와"&amp;" 지지율에 못 미치면 연대도 없다는 식의 태도는 
전형적인 졸부 정치의 단면""이라고 비판했다.  임 대변인은 송 의원에 대해서도 ""'진짜와 가짜'를 감별해 대놓고 편을 가르겠다는 속내""라고 꼬집었다.  pc@yna.co.kr 제보는 카카오톡 okjebo &lt;저작권자(c) 연합뉴스, 무단 전재-재배포, AI 학습 및 활용 금지&gt; 2026/09/12 21:59 송고2026년09월12일 21시59분 송고")</f>
        <v>(청주=연합뉴스) 김형우 기자 = 더불어민주당 김민석 대표가 11일 오전 충북도청 신관6층 문화홀에서 열린 충북 최고위원회의에서 
발언하고 있다. 2026.9.11 vodcast@yna.co.kr  (서울=연합뉴스) 최평천 기자 = 더불어민주당 김민석 대표는 12일 "우리 당은 진보 정당과 개인, 중도적 개인, 보수적이면서 
합리적이고 유능한 분들을 다 함께 끌어안는 대통합의 길을 갈 것"이라고 밝혔다.  김 대표는 이날 평택을 지역위원회 '오픈데이' 행사에 참석해 "보수와 중도를 끌어안는 구조적인 다수의 진보정당 맏형의 길을 민주당은 
갈 것이다. 진보 개혁정당, 중도보수 세력과 연대하고 대화하겠다"이라면서 이같이 밝혔다.  그는 "사회민주당, 진보당, 기본소득당 같은 정당과 연대할 것이고, 조국혁신당과는 합당의 길을 갈지, 연대의 길을 갈지 논의해서 
결정할 것"이라며 "합당하든 연대하든 대원칙은 경쟁력"이라고 말했다.  이어 "어떤 지분을 놓고 나누는 시대는 지났다. 그것은 구정치"라면서 "우리 정당과 다른 당이 연대를 해도 경쟁력으로 단일화가 될 
것이며, 당내에서도 경쟁력으로 후보가 될 것"이라고 강조했다.  평택을은 6·3 재선거에서 민주당 김용남 평택을 지역위원장과 혁신당 조국 혁신정책연구원장 등이 경쟁, 민주·진보 진영이 분열되면서 
국민의힘 유의동 의원이 당선된 곳이다.  김 대표는 이날도 지난 선거에서 조 원장과 경쟁을 벌였던 김 위원장에 대한 지지 의사를 밝혔다. 김 대표는 대표 취임 직후 김 
위원장을 당 정책위 상임부의장으로 임명한 바 있다.  김 대표는 "정부와 당의 생각은 지난 대선 때 보수 진영에 계셨던 분들을 이용하고 끝내자는 것이 아니라 능력 있는 좋은 분들을 모셔서 
정치의 지평을 넓히자는 것"이라며 "진보 개혁과 중도 보수까지 포괄하는 큰 들판을 만들자는 것"이라고 강조했다.  그는 "그런 점에서 김 위원장 같은 분들이 우리 정치, 우리 당, 우리 정부에서 더 크게 역할을 하기를 기대하고, 도울 것"이라며 
"김 위원장이 평택에서 성장, 공동체 배려를 이해하는 정치를 펼칠 것으로 기대한다"고 덧붙였다.  같은 당 송영길 의원은 이날 행사에서 지난 선거 때 '국민의힘 제로'를 슬로건으로 내걸었던 조 원장을 거론하며 "갑자기 민주당 
험지라고 해서 '국힘 제로'를 만들겠다고 오신 분이 있었는데 나와서 '민주당 제로'를 만들고 갔다"고 비판했다.  그는 또 "지금 여러 가지로 당과 이재명 정부가 좀 어려움에 봉착해 있다"면서 범여권 논객인 유시민 작가의 ABC론과 관련, "이럴 
때 진짜 코어 지지층이 뭔지, 진짜 B그룹이 뭔지 보여줘야 된다"고 강조했다.  이에 대해 혁신당은 김 대표의 발언을 거론하며 "우당을 지분이나 챙기려는 세력이자 가상의 적으로 규정하는 행태"라며 반발했다.  혁신당 임명희 대변인은 논평에서 "당내 리더십 위기에 시선을 외부로 돌리려는 정치공작에 공감할 국민은 없다"고 말한 뒤 "민주당이 
주장하는 '경쟁력 중심의 연대와 통합'은 힘자랑에 불과한 말장난"이라며 "민주당 의석수와 지지율에 못 미치면 연대도 없다는 식의 태도는 
전형적인 졸부 정치의 단면"이라고 비판했다.  임 대변인은 송 의원에 대해서도 "'진짜와 가짜'를 감별해 대놓고 편을 가르겠다는 속내"라고 꼬집었다.  pc@yna.co.kr 제보는 카카오톡 okjebo &lt;저작권자(c) 연합뉴스, 무단 전재-재배포, AI 학습 및 활용 금지&gt; 2026/09/12 21:59 송고2026년09월12일 21시59분 송고</v>
      </c>
    </row>
    <row r="20" spans="4:6" x14ac:dyDescent="0.2">
      <c r="D20" s="3" t="str">
        <f ca="1">IFERROR(__xludf.DUMMYFUNCTION("""COMPUTED_VALUE"""),"박지원 ""순천대 의대 무효"", 민형배 ""법원 판단 존중""(종합)")</f>
        <v>박지원 "순천대 의대 무효", 민형배 "법원 판단 존중"(종합)</v>
      </c>
      <c r="E20" s="4" t="str">
        <f ca="1">IFERROR(__xludf.DUMMYFUNCTION("""COMPUTED_VALUE"""),"https://www.yna.co.kr/view/AKR20260912023151054?section=politics/all")</f>
        <v>https://www.yna.co.kr/view/AKR20260912023151054?section=politics/all</v>
      </c>
      <c r="F20" s="3" t="str">
        <f ca="1">IFERROR(__xludf.DUMMYFUNCTION("TEXTJOIN("" "", TRUE, IMPORTXML(E20, ""//*[@id='articleWrap']//p""))"),"[박지원 의원 페이스북 캡처]  (전남광주=연합뉴스) 형민우 기자 = 더불어민주당 박지원(해남·완도·진도) 의원이 국립의대 후보대학 선정이 불공정하다며 민형배 
전남광주특별시장에게 무효 선언을 요구했으나, 민 시장은 법원 판단을 존중하겠다고 밝혔다.  박 의원은 12일 자신의 페이스북을 통해 ""전남 의대 등 여러 문제로 민형배 통합시장과 전날 오후 진도 명량대첩 축제장 별실에서 행사 
시작 전 1시간 10분간 면담했다""고 밝혔다.  박 의원은 ""정"&amp;"의와 공정을 위배한 순천대로의 결정에 대해 무효화 선언을 요구했다""고 말했다.  심사 결과와 관련해서도 ""불법적인 서류로 심사한 것은 불공정 심사로 받아들일 수 없다고 분명히 했다""고 밝혔다.  이어 ""민 시장께서는 사실을 잘못 이해하고 있다며 법원 가처분 결정이 나오는대로 순천대로 확정할 것이라 했다""면서 ""대안으로 
순천대보다 더 훌륭한 의과대학 병원 혹은 서울의 빅5 병원 분원을 목포로 유치하겠다며 실제 몇 개 병원을 접촉하고 있다고도 "&amp;"말했다""고 
썼다.  박 의원은 ""결론적으로 저와의 면담은 실패했고 (민 시장은) 매우 완강한 자세였다""며 ""강성휘 목포시장, 김원이 의원과 공유하겠다""고 
덧붙였다.  이에 대해 민형배 전남광주특별시장은 이날 페이스북을 통해 ""법원 가처분 결정이 나오면 순천대로 확정하겠다고 말한 적은 없다""며 ""법원 
판단을 기다리고 이를 존중해 이후 절차를 진행하겠다는 취지였다""고 밝혔다.   심사에 대해서도 ""단순히 보도 내용을 근거로 심사 전체"&amp;"를 불법·불공정하다고 하신 대목은 받아들이기 어렵다""고 반박하며 ""대학병원급 
의료체계 구축과 수도권 대형병원 분원 및 국립중앙의료원 유치 등을 구체적으로 검토하고 있다""고 설명했다.  전남광주시는 지난달 30일 순천대를 국립의대 후보대학으로 선정했으나 탈락한 목포대와 서남권 지자체·정치권이 심사가 불공정했다며 소송을 
제기하는 등 반발하고 있다.   minu21@yna.co.kr 제보는 카카오톡 okjebo &lt;저작권자(c) 연합뉴스, 무단 전재-"&amp;"재배포, AI 학습 및 활용 금지&gt; 2026/09/12 19:58 송고2026년09월12일 19시58분 송고")</f>
        <v>[박지원 의원 페이스북 캡처]  (전남광주=연합뉴스) 형민우 기자 = 더불어민주당 박지원(해남·완도·진도) 의원이 국립의대 후보대학 선정이 불공정하다며 민형배 
전남광주특별시장에게 무효 선언을 요구했으나, 민 시장은 법원 판단을 존중하겠다고 밝혔다.  박 의원은 12일 자신의 페이스북을 통해 "전남 의대 등 여러 문제로 민형배 통합시장과 전날 오후 진도 명량대첩 축제장 별실에서 행사 
시작 전 1시간 10분간 면담했다"고 밝혔다.  박 의원은 "정의와 공정을 위배한 순천대로의 결정에 대해 무효화 선언을 요구했다"고 말했다.  심사 결과와 관련해서도 "불법적인 서류로 심사한 것은 불공정 심사로 받아들일 수 없다고 분명히 했다"고 밝혔다.  이어 "민 시장께서는 사실을 잘못 이해하고 있다며 법원 가처분 결정이 나오는대로 순천대로 확정할 것이라 했다"면서 "대안으로 
순천대보다 더 훌륭한 의과대학 병원 혹은 서울의 빅5 병원 분원을 목포로 유치하겠다며 실제 몇 개 병원을 접촉하고 있다고도 말했다"고 
썼다.  박 의원은 "결론적으로 저와의 면담은 실패했고 (민 시장은) 매우 완강한 자세였다"며 "강성휘 목포시장, 김원이 의원과 공유하겠다"고 
덧붙였다.  이에 대해 민형배 전남광주특별시장은 이날 페이스북을 통해 "법원 가처분 결정이 나오면 순천대로 확정하겠다고 말한 적은 없다"며 "법원 
판단을 기다리고 이를 존중해 이후 절차를 진행하겠다는 취지였다"고 밝혔다.   심사에 대해서도 "단순히 보도 내용을 근거로 심사 전체를 불법·불공정하다고 하신 대목은 받아들이기 어렵다"고 반박하며 "대학병원급 
의료체계 구축과 수도권 대형병원 분원 및 국립중앙의료원 유치 등을 구체적으로 검토하고 있다"고 설명했다.  전남광주시는 지난달 30일 순천대를 국립의대 후보대학으로 선정했으나 탈락한 목포대와 서남권 지자체·정치권이 심사가 불공정했다며 소송을 
제기하는 등 반발하고 있다.   minu21@yna.co.kr 제보는 카카오톡 okjebo &lt;저작권자(c) 연합뉴스, 무단 전재-재배포, AI 학습 및 활용 금지&gt; 2026/09/12 19:58 송고2026년09월12일 19시58분 송고</v>
      </c>
    </row>
    <row r="21" spans="4:6" x14ac:dyDescent="0.2">
      <c r="D21" s="3" t="str">
        <f ca="1">IFERROR(__xludf.DUMMYFUNCTION("""COMPUTED_VALUE"""),"李대통령 ""개혁 포기한 적 없다…과격한 선명성 선동 경계해야""")</f>
        <v>李대통령 "개혁 포기한 적 없다…과격한 선명성 선동 경계해야"</v>
      </c>
      <c r="E21" s="4" t="str">
        <f ca="1">IFERROR(__xludf.DUMMYFUNCTION("""COMPUTED_VALUE"""),"https://www.yna.co.kr/view/AKR20260912043600001?section=politics/all")</f>
        <v>https://www.yna.co.kr/view/AKR20260912043600001?section=politics/all</v>
      </c>
      <c r="F21" s="3" t="str">
        <f ca="1">IFERROR(__xludf.DUMMYFUNCTION("TEXTJOIN("" "", TRUE, IMPORTXML(E21, ""//*[@id='articleWrap']//p""))"),"(서울=연합뉴스) 한상균 기자 = 이재명 대통령이 11일 청와대에서 수석보좌관회의에 입장하고 있다. 2026.9.11 
[청와대통신사진기자단] xyz@yna.co.kr  (서울=연합뉴스) 설승은 기자 = 이재명 대통령은 12일 ""자신의 선명성을 드러내는 과격한 선동으로 저항과 역결집을 초래해 결과적으로 
개혁을 방해하고 반동을 초래하는 것을 필히 경계해야 한다""고 밝혔다.  이 대통령은 이날 엑스(X·엑스)에 대통령의 개혁 의지를 성공으로 이끌어야 "&amp;"한다는 박태훈 청년오늘연구소장의 글을 인용하고 ""틀린 
말씀이 단 하나도 없다""면서 이같이 적었다.  진보당 부대변인 출신인 박 소장은 해당 글에서 ""바깥의 적보다 아픈 것은 안에서 흔드는 말들""이라며 이 대통령에 더 강한 개혁을 
주문하는 진보 진영 내부를 비판하면서 강경 검찰개혁론자들이 김승원 법무부 장관 후보자를 공격하는 '검찰 캐비닛 정치'엔 침묵하고 있다고 
언급했다.   이 대통령은 ""저는 개혁의 목표와 가치를 한순간도 포기한 적이 "&amp;"없다""면서 ""개혁은 혁명보다 어렵다. 혁명의 열정과 속도를 절제하지 
못한 과잉과 과속으로 반혁명의 불행을 초래한 안타까운 역사는 얼마든지 있다""고 지적했다.   이어 ""개혁은 최대한의 공감 아래 섬세하고 절차적이어야 하며, 고통과 저항을 최소화하여 실효적인 성과로 증명해야 한다""고 강조했다.   그러면서 ""권한이 없을 때는 책임도 없고 무책임한 주장도 폐해가 크지 않지만, 권한을 가졌으면 상응하는 무한 책임을 져야 한다""고 
말했다.   "&amp;"이 대통령은 ""누가 모두를 대표할 것인가를 정하는 선거와 누가 모든 것을 차지할 것인가를 정하는 전쟁은 다르다""라고도 지적한 뒤 
""공직은 모두를 위한 봉사자여야 한다. 부정하고 무능해도 가깝다는 이유로 기용하자는 것은 실패의 지름길이자 대표자가 아닌 정복자가 취할 
태도""라고 지적했다.  이어 ""아무것도 하지 않으면 아무 일도 일어나지 않는다""며 ""좋은 변화, 즉 개혁과정에서는 변화 때문에 이익을 박탈당하는 쪽의 저항과 
고통은 크지만, "&amp;"혜택받는 측의 호응과 공감은 작다""고 했다.  나아가 ""개혁에는 필연적으로 반발이 수반되지만, 개혁이 없으면 반발도 없다""며 ""개혁의 가장 큰 걸림돌은 개혁의 이름으로 개혁을 
방해하는 것""이라고 목소리를 높였다.   그러면서 ""자주적이고 평화로우며 안전한 나라, 민주적이며 공평하고 포용성장하는 나라를 향해 모두가 함께 나아갈 수 있기를 바란다""고 
덧붙였다.   이 대통령의 이런 발언은 공소청 직제 개정안 등 검찰 개혁 과제, 초대 중대범"&amp;"죄수사청장에 검찰 출신 인사가 지명된 것 등을 놓고 
민주진보 진영 내부에서 '개혁 후퇴'라는 거센 비판이 나오는 상황을 염두에 둔 것으로 분석된다.  이른바 코어 지지층 이탈이 최근 지지율이 하락한 이유 중 하나라는 분석이 나오는 상황에서 자신의 개혁 의지는 흔들림 없다는 점을 
부각하면서도 개혁 과제를 매개로 과격한 선동에 나서는 것을 경계해야 한다는 점을 강조, 내부 결속을 다지려는 포석으로 풀이된다. [재판매 및 DB 금지]  ses@yna.co"&amp;".kr 제보는 카카오톡 okjebo &lt;저작권자(c) 연합뉴스, 무단 전재-재배포, AI 학습 및 활용 금지&gt; 2026/09/12 19:31 송고2026년09월12일 19시31분 송고")</f>
        <v>(서울=연합뉴스) 한상균 기자 = 이재명 대통령이 11일 청와대에서 수석보좌관회의에 입장하고 있다. 2026.9.11 
[청와대통신사진기자단] xyz@yna.co.kr  (서울=연합뉴스) 설승은 기자 = 이재명 대통령은 12일 "자신의 선명성을 드러내는 과격한 선동으로 저항과 역결집을 초래해 결과적으로 
개혁을 방해하고 반동을 초래하는 것을 필히 경계해야 한다"고 밝혔다.  이 대통령은 이날 엑스(X·엑스)에 대통령의 개혁 의지를 성공으로 이끌어야 한다는 박태훈 청년오늘연구소장의 글을 인용하고 "틀린 
말씀이 단 하나도 없다"면서 이같이 적었다.  진보당 부대변인 출신인 박 소장은 해당 글에서 "바깥의 적보다 아픈 것은 안에서 흔드는 말들"이라며 이 대통령에 더 강한 개혁을 
주문하는 진보 진영 내부를 비판하면서 강경 검찰개혁론자들이 김승원 법무부 장관 후보자를 공격하는 '검찰 캐비닛 정치'엔 침묵하고 있다고 
언급했다.   이 대통령은 "저는 개혁의 목표와 가치를 한순간도 포기한 적이 없다"면서 "개혁은 혁명보다 어렵다. 혁명의 열정과 속도를 절제하지 
못한 과잉과 과속으로 반혁명의 불행을 초래한 안타까운 역사는 얼마든지 있다"고 지적했다.   이어 "개혁은 최대한의 공감 아래 섬세하고 절차적이어야 하며, 고통과 저항을 최소화하여 실효적인 성과로 증명해야 한다"고 강조했다.   그러면서 "권한이 없을 때는 책임도 없고 무책임한 주장도 폐해가 크지 않지만, 권한을 가졌으면 상응하는 무한 책임을 져야 한다"고 
말했다.   이 대통령은 "누가 모두를 대표할 것인가를 정하는 선거와 누가 모든 것을 차지할 것인가를 정하는 전쟁은 다르다"라고도 지적한 뒤 
"공직은 모두를 위한 봉사자여야 한다. 부정하고 무능해도 가깝다는 이유로 기용하자는 것은 실패의 지름길이자 대표자가 아닌 정복자가 취할 
태도"라고 지적했다.  이어 "아무것도 하지 않으면 아무 일도 일어나지 않는다"며 "좋은 변화, 즉 개혁과정에서는 변화 때문에 이익을 박탈당하는 쪽의 저항과 
고통은 크지만, 혜택받는 측의 호응과 공감은 작다"고 했다.  나아가 "개혁에는 필연적으로 반발이 수반되지만, 개혁이 없으면 반발도 없다"며 "개혁의 가장 큰 걸림돌은 개혁의 이름으로 개혁을 
방해하는 것"이라고 목소리를 높였다.   그러면서 "자주적이고 평화로우며 안전한 나라, 민주적이며 공평하고 포용성장하는 나라를 향해 모두가 함께 나아갈 수 있기를 바란다"고 
덧붙였다.   이 대통령의 이런 발언은 공소청 직제 개정안 등 검찰 개혁 과제, 초대 중대범죄수사청장에 검찰 출신 인사가 지명된 것 등을 놓고 
민주진보 진영 내부에서 '개혁 후퇴'라는 거센 비판이 나오는 상황을 염두에 둔 것으로 분석된다.  이른바 코어 지지층 이탈이 최근 지지율이 하락한 이유 중 하나라는 분석이 나오는 상황에서 자신의 개혁 의지는 흔들림 없다는 점을 
부각하면서도 개혁 과제를 매개로 과격한 선동에 나서는 것을 경계해야 한다는 점을 강조, 내부 결속을 다지려는 포석으로 풀이된다. [재판매 및 DB 금지]  ses@yna.co.kr 제보는 카카오톡 okjebo &lt;저작권자(c) 연합뉴스, 무단 전재-재배포, AI 학습 및 활용 금지&gt; 2026/09/12 19:31 송고2026년09월12일 19시31분 송고</v>
      </c>
    </row>
    <row r="22" spans="4:6" x14ac:dyDescent="0.2">
      <c r="D22" s="3" t="str">
        <f ca="1">IFERROR(__xludf.DUMMYFUNCTION("""COMPUTED_VALUE"""),"與 ""기존 대법관 후보 중 재제청해야""…국힘 ""사법부 장악 야욕""")</f>
        <v>與 "기존 대법관 후보 중 재제청해야"…국힘 "사법부 장악 야욕"</v>
      </c>
      <c r="E22" s="4" t="str">
        <f ca="1">IFERROR(__xludf.DUMMYFUNCTION("""COMPUTED_VALUE"""),"https://www.yna.co.kr/view/AKR20260912042400001?section=politics/all")</f>
        <v>https://www.yna.co.kr/view/AKR20260912042400001?section=politics/all</v>
      </c>
      <c r="F22" s="3" t="str">
        <f ca="1">IFERROR(__xludf.DUMMYFUNCTION("TEXTJOIN("" "", TRUE, IMPORTXML(E22, ""//*[@id='articleWrap']//p""))"),"(서울=연합뉴스) 서대연 기자 = 청와대가 지난 28일 조희대 대법원장의 대법관 후보 서면 제청을 반려하면서 법조계 안팎에서 대법관 
제청권을 침해하는 위헌이라는 비판이 제기되는 가운데 대법원이 다음주 입장을 내놓을 전망이다.  조 대법원장은 지난 28일 청와대의 대법관 후보 재제청 요구에 ""국민 여러분께 심려를 끼쳐 송구하다""며 내주 공식 입장을 밝히겠다고 
말했다. 사진은 30일 서울 서초구 대법원의 모습. 2026.8.30 dwise@yna.c"&amp;"o.kr  (서울=연합뉴스) 최평천 권희원 기자 = 여야는 12일 청와대가 조희대 대법원장을 향해 대법관 후보 재제청을 신속히 진행해달라는 
입장을 밝힌 것을 두고 엇갈린 목소리를 냈다.  더불어민주당은 조 대법원장에게 '제청권 정치'를 그만두고 신속히 재제청하라고 요구했고, 국민의힘은 대법관 인사에 대한 노골적인 개입을 
중단하라고 촉구했다.  민주당 전은수 원내대변인은 서면 브리핑에서 ""대법관후보추천위원회가 이미 추천한 후보자 가운데 신속하게 재제"&amp;"청 절차를 진행하라""며 ""더 
이상 '제청권 몽니'로 대법관 공백을 장기화하지 말라""고 밝혔다.  이어 ""이미 추천된 후보자들을 제쳐두고 추천위원회부터 다시 구성해 후보군을 원점에서 짜려 한다면 대법관 인선을 장기화하는 또 다른 
꼼수라는 비판을 피하기 어려울 것""이라고 꼬집었다.  그는 ""후보추천위원회를 다시 구성해 판을 새로 짤 생각으로 막무가내식 제청한 것이 아니라면, 재제청을 더 이상 미룰 이유가 
무엇인가""라고 반문했다.  전 원내"&amp;"대변인은 ""대법관 공백의 피해는 결국 국민에게 돌아간다""며 ""국민에게 신속하고 공정한 재판을 제공하는 것이 사법부가 지켜야 할 
헌법적 책무""라고 강조했다.  반면 국민의힘 장동혁 대표는 페이스북에서 ""청와대의 '추천위를 존중하라'는 주장은 결국 (후보추천위 후보 중 한 명인) 
김민기(판사)를 제청하라는 소리""라며 ""김민기를 대법관으로 만들어 기어코 이재명 무죄 선고를 받아내겠다는 것""이라고 비판했다.  장 대표는 ""이재명 대통령이 '"&amp;"임명된 권력이 선출된 권력을 존중해야 한다'고 했는데, 삼권 분립을 부정하는 것""이라며 ""독재의 
시작이다. 히틀러도 '선출 권력'을 내세워 나치 독재 정권을 구축했다""고 꼬집었다.  이어 ""지금 대법원이 해야 할 일은 다른 무엇도 아닌 '이재명 재판 재개'""라고 주장했다.  박성훈 수석대변인은 논평에서 ""이 대통령은 사법부마저 대통령의 지휘 아래 둘 수 있다는 오만부터 버리라""며 ""대법관까지 입맛대로 
고르겠다는 사법부 장악 야욕을 당장"&amp;" 거두라""고 말했다.  pc@yna.co.kr 제보는 카카오톡 okjebo &lt;저작권자(c) 연합뉴스, 무단 전재-재배포, AI 학습 및 활용 금지&gt; 2026/09/12 18:52 송고2026년09월12일 18시52분 송고")</f>
        <v>(서울=연합뉴스) 서대연 기자 = 청와대가 지난 28일 조희대 대법원장의 대법관 후보 서면 제청을 반려하면서 법조계 안팎에서 대법관 
제청권을 침해하는 위헌이라는 비판이 제기되는 가운데 대법원이 다음주 입장을 내놓을 전망이다.  조 대법원장은 지난 28일 청와대의 대법관 후보 재제청 요구에 "국민 여러분께 심려를 끼쳐 송구하다"며 내주 공식 입장을 밝히겠다고 
말했다. 사진은 30일 서울 서초구 대법원의 모습. 2026.8.30 dwise@yna.co.kr  (서울=연합뉴스) 최평천 권희원 기자 = 여야는 12일 청와대가 조희대 대법원장을 향해 대법관 후보 재제청을 신속히 진행해달라는 
입장을 밝힌 것을 두고 엇갈린 목소리를 냈다.  더불어민주당은 조 대법원장에게 '제청권 정치'를 그만두고 신속히 재제청하라고 요구했고, 국민의힘은 대법관 인사에 대한 노골적인 개입을 
중단하라고 촉구했다.  민주당 전은수 원내대변인은 서면 브리핑에서 "대법관후보추천위원회가 이미 추천한 후보자 가운데 신속하게 재제청 절차를 진행하라"며 "더 
이상 '제청권 몽니'로 대법관 공백을 장기화하지 말라"고 밝혔다.  이어 "이미 추천된 후보자들을 제쳐두고 추천위원회부터 다시 구성해 후보군을 원점에서 짜려 한다면 대법관 인선을 장기화하는 또 다른 
꼼수라는 비판을 피하기 어려울 것"이라고 꼬집었다.  그는 "후보추천위원회를 다시 구성해 판을 새로 짤 생각으로 막무가내식 제청한 것이 아니라면, 재제청을 더 이상 미룰 이유가 
무엇인가"라고 반문했다.  전 원내대변인은 "대법관 공백의 피해는 결국 국민에게 돌아간다"며 "국민에게 신속하고 공정한 재판을 제공하는 것이 사법부가 지켜야 할 
헌법적 책무"라고 강조했다.  반면 국민의힘 장동혁 대표는 페이스북에서 "청와대의 '추천위를 존중하라'는 주장은 결국 (후보추천위 후보 중 한 명인) 
김민기(판사)를 제청하라는 소리"라며 "김민기를 대법관으로 만들어 기어코 이재명 무죄 선고를 받아내겠다는 것"이라고 비판했다.  장 대표는 "이재명 대통령이 '임명된 권력이 선출된 권력을 존중해야 한다'고 했는데, 삼권 분립을 부정하는 것"이라며 "독재의 
시작이다. 히틀러도 '선출 권력'을 내세워 나치 독재 정권을 구축했다"고 꼬집었다.  이어 "지금 대법원이 해야 할 일은 다른 무엇도 아닌 '이재명 재판 재개'"라고 주장했다.  박성훈 수석대변인은 논평에서 "이 대통령은 사법부마저 대통령의 지휘 아래 둘 수 있다는 오만부터 버리라"며 "대법관까지 입맛대로 
고르겠다는 사법부 장악 야욕을 당장 거두라"고 말했다.  pc@yna.co.kr 제보는 카카오톡 okjebo &lt;저작권자(c) 연합뉴스, 무단 전재-재배포, AI 학습 및 활용 금지&gt; 2026/09/12 18:52 송고2026년09월12일 18시52분 송고</v>
      </c>
    </row>
    <row r="23" spans="4:6" x14ac:dyDescent="0.2">
      <c r="D23" s="3" t="str">
        <f ca="1">IFERROR(__xludf.DUMMYFUNCTION("""COMPUTED_VALUE"""),"李대통령, 북극항로 시범운항 선박 英도착에 ""역사적 첫길 축하""")</f>
        <v>李대통령, 북극항로 시범운항 선박 英도착에 "역사적 첫길 축하"</v>
      </c>
      <c r="E23" s="4" t="str">
        <f ca="1">IFERROR(__xludf.DUMMYFUNCTION("""COMPUTED_VALUE"""),"https://www.yna.co.kr/view/AKR20260912038200001?section=politics/all")</f>
        <v>https://www.yna.co.kr/view/AKR20260912038200001?section=politics/all</v>
      </c>
      <c r="F23" s="3" t="str">
        <f ca="1">IFERROR(__xludf.DUMMYFUNCTION("TEXTJOIN("" "", TRUE, IMPORTXML(E23, ""//*[@id='articleWrap']//p""))"),"(부산=연합뉴스) 김도훈 기자 = 이재명 대통령이 27일 부산 영도구에서 열린 제31회 바다의 날 기념식에서 기념사를 하고 있다. 
2026.5.27 superdoo82@yna.co.kr  (서울=연합뉴스) 설승은 기자 = 이재명 대통령은 12일 국내 컨테이너선으로는 처음 북극항로 시범 운항에 나선 팬스타 아크로호가 
영국에 도착한 데 축하의 뜻을 전했다.   이 대통령은 이날 엑스(X·옛 트위터)에 ""역사적인 북극항로 첫 길을 연 선장과 선원 여러분"&amp;"에게 축하와 감사를 드린다""며 ""팬스타 
아크로호의 무사 귀환과 성공적 북극항로 개척을 함께 빌어달라""고 적었다.   이 대통령은 이어서 올린 게시글에 팬스타 아크로호의 기항 소식을 전한 전재수 부산시장의 글을 링크하고 ""전재수 부산시장님과 부산 시민 
여러분, 해양수도 부산의 꿈과 본격적인 북극항로 개척을 응원한다""고 밝혔다.   그러면서 ""약속드린 대로 강력한 추진과 지원으로 북극항로 시대, 해양 수도 부산을 앞당기겠다""고 강조했다.  "&amp;"지난달 22일 부산을 떠난 팬스타 아크로호는 출항 21일 만이자 한국 시간으로 이날 오전 5시께 첫 기항지인 영국 펠릭스토우항에 
입항했다.   한편, 이 대통령은 다음 달부터 소득과 관계 없이 양육비 선지급제를 이용할 수 있다는 점을 소개한 김경자 청와대 사회수석의 글을 
재게시하고 ""이것 정말 중요하죠? 많이 알려주시길""이라고 적었다.  [재판매 및 DB 금지]  ses@yna.co.kr 제보는 카카오톡 okjebo &lt;저작권자(c) 연합뉴스, 무"&amp;"단 전재-재배포, AI 학습 및 활용 금지&gt; 2026/09/12 17:30 송고2026년09월12일 17시30분 송고")</f>
        <v>(부산=연합뉴스) 김도훈 기자 = 이재명 대통령이 27일 부산 영도구에서 열린 제31회 바다의 날 기념식에서 기념사를 하고 있다. 
2026.5.27 superdoo82@yna.co.kr  (서울=연합뉴스) 설승은 기자 = 이재명 대통령은 12일 국내 컨테이너선으로는 처음 북극항로 시범 운항에 나선 팬스타 아크로호가 
영국에 도착한 데 축하의 뜻을 전했다.   이 대통령은 이날 엑스(X·옛 트위터)에 "역사적인 북극항로 첫 길을 연 선장과 선원 여러분에게 축하와 감사를 드린다"며 "팬스타 
아크로호의 무사 귀환과 성공적 북극항로 개척을 함께 빌어달라"고 적었다.   이 대통령은 이어서 올린 게시글에 팬스타 아크로호의 기항 소식을 전한 전재수 부산시장의 글을 링크하고 "전재수 부산시장님과 부산 시민 
여러분, 해양수도 부산의 꿈과 본격적인 북극항로 개척을 응원한다"고 밝혔다.   그러면서 "약속드린 대로 강력한 추진과 지원으로 북극항로 시대, 해양 수도 부산을 앞당기겠다"고 강조했다.  지난달 22일 부산을 떠난 팬스타 아크로호는 출항 21일 만이자 한국 시간으로 이날 오전 5시께 첫 기항지인 영국 펠릭스토우항에 
입항했다.   한편, 이 대통령은 다음 달부터 소득과 관계 없이 양육비 선지급제를 이용할 수 있다는 점을 소개한 김경자 청와대 사회수석의 글을 
재게시하고 "이것 정말 중요하죠? 많이 알려주시길"이라고 적었다.  [재판매 및 DB 금지]  ses@yna.co.kr 제보는 카카오톡 okjebo &lt;저작권자(c) 연합뉴스, 무단 전재-재배포, AI 학습 및 활용 금지&gt; 2026/09/12 17:30 송고2026년09월12일 17시30분 송고</v>
      </c>
    </row>
    <row r="24" spans="4:6" x14ac:dyDescent="0.2">
      <c r="D24" s="3" t="str">
        <f ca="1">IFERROR(__xludf.DUMMYFUNCTION("""COMPUTED_VALUE"""),"日, 3년째 사도광산 추도식서 '조선인 강제노동' 언급 안해(종합)")</f>
        <v>日, 3년째 사도광산 추도식서 '조선인 강제노동' 언급 안해(종합)</v>
      </c>
      <c r="E24" s="4" t="str">
        <f ca="1">IFERROR(__xludf.DUMMYFUNCTION("""COMPUTED_VALUE"""),"https://www.yna.co.kr/view/AKR20260912036251073?section=politics/all")</f>
        <v>https://www.yna.co.kr/view/AKR20260912036251073?section=politics/all</v>
      </c>
      <c r="F24" s="3" t="str">
        <f ca="1">IFERROR(__xludf.DUMMYFUNCTION("TEXTJOIN("" "", TRUE, IMPORTXML(E24, ""//*[@id='articleWrap']//p""))")," (도쿄=연합뉴스) 조성미 특파원 = 일본 정부가 일제강점기 조선인 강제노역 현장인 니가타현 사도광산 인근에서 12일 '사도광산 
추도식'을 열었다. 올해 추도식에서도 조선인 강제 노동에 대한 언급은 없었다.  일본 정부 대표로 이날 니가타현 사도시 공민관에서 열린 추도식에 참석한 하마모토 유키야 외무성 국제문화교류심의관(국장급)은 추도사에서 
""한반도 출신 노동자들이 전쟁 중 갱내라는 위험하고 가혹한 환경 속에서 고된 노동에 종사했다""고 말했다고 "&amp;"교도통신이 전했다.  그는 이어 ""안타깝게도 이곳에서 목숨을 잃은 분들도 있다""며 애도를 표했지만 재작년이나 작년과 대동소이한 추도 내용만 담았고, 당시 
조선인 노동의 강제성에 대해서는 전혀 언급하지 않았다.  추도식은 니가타현, 사도시, 지역 시민단체로 구성된 실행위원회가 주최했으며 약 70명이 참석해 희생자들에게 국화를 바치고 묵념했다.  (도쿄 교도=연합뉴스) 일본 정부가 일제강점기 조선인 강제노역 현장인 니가타현 사도광산 인근에서 12일 '"&amp;"사도광산 추도식'을 열었다. 
올해 추도식에서도 조선인 강제 노동에 대한 언급이 없었고 한국 정부는 별도로 추도식을 개최할 예정이다. 2026.9.12 
csm@yna.co.kr  일본 정부는 사도광산이 유네스코 세계문화유산으로 등재된 이후 2024년부터 열린 추도식부터 올해까지 3년 연속 조선인 노동의 강제성을 
언급하지 않고 있다.  추도식은 일본이 2024년 7월 사도광산의 세계유산 등재를 추진하는 과정에서 한국이 조선인 강제노동을 포함한 전체 역"&amp;"사를 반영할 것을 
요구하자 한국 측 협조를 얻기 위해 약속한 사항이다.  한국 정부는 지난 9일 ""올해 (사도광산) 추도식이 온전히 개최될 수 있도록 일본 측과 진지하게 협의를 이어왔으나 핵심 쟁점에 대해 
상호 합의에 이르지 못했다""며 이번에도 일본 측 추도식에 불참하겠다는 의사를 밝힌 바 있다.  일본이 2024년 첫 추도식을 준비하면서부터 행사 이름과 추도사 등에서 조선인 노동 강제성 등을 둘러싸고 한국 측과 큰 견해차를 
보이자, 한국 정부"&amp;"는 별도의 사도광산 희생자 추도식을 해마다 열고 있다.  한국 외교부는 올해도 일본 측 사도광산 추도식에 불참한다고 발표하면서 ""정부는 제48차 세계유산위원회의 관련 결정에 주목하며 일본 
측이 결정상 권고를 충실하고 완전하게 이행하기를 촉구한다""고 강조했다.  사도광산은 에도시대(1603∼1867년)에 금광으로 유명했던 곳으로 태평양전쟁이 본격화한 후에는 전시 물자 확보를 위한 광산으로 
활용됐다. 이때 식민지 조선인들이 강제 동원돼 혹독한 환경 "&amp;"속에서 차별받으며 일했다.  이 광산은 2024년 7월 인도 뉴델리에서 열린 제46차 세계유산위에서 유네스코 세계유산 등재가 결정됐다.  등재를 앞두고 한국 정부는 사도광산에 조선인 강제노동을 포함한 '전체 역사'를 반영해야 한다고 일본에 요구했고, 일본은 이를 
받아들였다. 그러나 이후 강제노역 사실을 충분히 표현하지 않았다는 지적이 제기되고 있다.  지난 7월 부산에서 열린 제48차 유네스코 세계유산위원회에서 채택된 결정문도 사도광산의 '전체 역사'"&amp;"를 반영하는 해석·전시 전략을 
수립하라는 세계유산위의 권고를 이행하는 데 있어서 일본 측의 ""일부 진전""이 있었으나 충분하지는 않다고 평가했다. (사도[일본]=연합뉴스) 박상현 특파원 = 유네스코 세계유산 등재 1년을 맞은 일본 니가타현 사도섬 사도광산. 2025.9.14 
psh59@yna.co.kr  현지 언론에서도 일본 측 추도식이 형식적으로 진행되고 있다는 지적이 나왔다.  교도통신은 이날 추도식에서 희생자의 이름조차 명시되지 않은 채 관계"&amp;"자들의 인사말만 이어졌다고 보도했다.  통신은 니가타현립문서관이 사도광산에 동원된 조선인 노동자 명부를 소장하고 있지만, 이를 공개하지 않고 있다고도 지적했다.  후지이시 다카요 니가타대 교수는 일본 측 추도식이 ""누구를 추도하는지조차 밝히지 않은 채 고인이 겪은 고통과 유족의 슬픔을 외면하고 
있다""고 비판했다.  그는 ""과거 니가타현 시민들은 한국에서 사도광산 생존자와 유족을 찾아내 당시의 이야기를 듣고 (일본의) 가해 사실을 직시했다. 
그것"&amp;"이야말로 진정한 추도가 아니겠는가""라고 말했다.  1940년부터 1945년까지 사도광산에서 노역한 조선인 수는 1천519명으로 알려져 있다.  csm@yna.co.kr 제보는 카카오톡 okjebo &lt;저작권자(c) 연합뉴스, 무단 전재-재배포, AI 학습 및 활용 금지&gt; 2026/09/12 17:13 송고2026년09월12일 17시13분 송고")</f>
        <v xml:space="preserve"> (도쿄=연합뉴스) 조성미 특파원 = 일본 정부가 일제강점기 조선인 강제노역 현장인 니가타현 사도광산 인근에서 12일 '사도광산 
추도식'을 열었다. 올해 추도식에서도 조선인 강제 노동에 대한 언급은 없었다.  일본 정부 대표로 이날 니가타현 사도시 공민관에서 열린 추도식에 참석한 하마모토 유키야 외무성 국제문화교류심의관(국장급)은 추도사에서 
"한반도 출신 노동자들이 전쟁 중 갱내라는 위험하고 가혹한 환경 속에서 고된 노동에 종사했다"고 말했다고 교도통신이 전했다.  그는 이어 "안타깝게도 이곳에서 목숨을 잃은 분들도 있다"며 애도를 표했지만 재작년이나 작년과 대동소이한 추도 내용만 담았고, 당시 
조선인 노동의 강제성에 대해서는 전혀 언급하지 않았다.  추도식은 니가타현, 사도시, 지역 시민단체로 구성된 실행위원회가 주최했으며 약 70명이 참석해 희생자들에게 국화를 바치고 묵념했다.  (도쿄 교도=연합뉴스) 일본 정부가 일제강점기 조선인 강제노역 현장인 니가타현 사도광산 인근에서 12일 '사도광산 추도식'을 열었다. 
올해 추도식에서도 조선인 강제 노동에 대한 언급이 없었고 한국 정부는 별도로 추도식을 개최할 예정이다. 2026.9.12 
csm@yna.co.kr  일본 정부는 사도광산이 유네스코 세계문화유산으로 등재된 이후 2024년부터 열린 추도식부터 올해까지 3년 연속 조선인 노동의 강제성을 
언급하지 않고 있다.  추도식은 일본이 2024년 7월 사도광산의 세계유산 등재를 추진하는 과정에서 한국이 조선인 강제노동을 포함한 전체 역사를 반영할 것을 
요구하자 한국 측 협조를 얻기 위해 약속한 사항이다.  한국 정부는 지난 9일 "올해 (사도광산) 추도식이 온전히 개최될 수 있도록 일본 측과 진지하게 협의를 이어왔으나 핵심 쟁점에 대해 
상호 합의에 이르지 못했다"며 이번에도 일본 측 추도식에 불참하겠다는 의사를 밝힌 바 있다.  일본이 2024년 첫 추도식을 준비하면서부터 행사 이름과 추도사 등에서 조선인 노동 강제성 등을 둘러싸고 한국 측과 큰 견해차를 
보이자, 한국 정부는 별도의 사도광산 희생자 추도식을 해마다 열고 있다.  한국 외교부는 올해도 일본 측 사도광산 추도식에 불참한다고 발표하면서 "정부는 제48차 세계유산위원회의 관련 결정에 주목하며 일본 
측이 결정상 권고를 충실하고 완전하게 이행하기를 촉구한다"고 강조했다.  사도광산은 에도시대(1603∼1867년)에 금광으로 유명했던 곳으로 태평양전쟁이 본격화한 후에는 전시 물자 확보를 위한 광산으로 
활용됐다. 이때 식민지 조선인들이 강제 동원돼 혹독한 환경 속에서 차별받으며 일했다.  이 광산은 2024년 7월 인도 뉴델리에서 열린 제46차 세계유산위에서 유네스코 세계유산 등재가 결정됐다.  등재를 앞두고 한국 정부는 사도광산에 조선인 강제노동을 포함한 '전체 역사'를 반영해야 한다고 일본에 요구했고, 일본은 이를 
받아들였다. 그러나 이후 강제노역 사실을 충분히 표현하지 않았다는 지적이 제기되고 있다.  지난 7월 부산에서 열린 제48차 유네스코 세계유산위원회에서 채택된 결정문도 사도광산의 '전체 역사'를 반영하는 해석·전시 전략을 
수립하라는 세계유산위의 권고를 이행하는 데 있어서 일본 측의 "일부 진전"이 있었으나 충분하지는 않다고 평가했다. (사도[일본]=연합뉴스) 박상현 특파원 = 유네스코 세계유산 등재 1년을 맞은 일본 니가타현 사도섬 사도광산. 2025.9.14 
psh59@yna.co.kr  현지 언론에서도 일본 측 추도식이 형식적으로 진행되고 있다는 지적이 나왔다.  교도통신은 이날 추도식에서 희생자의 이름조차 명시되지 않은 채 관계자들의 인사말만 이어졌다고 보도했다.  통신은 니가타현립문서관이 사도광산에 동원된 조선인 노동자 명부를 소장하고 있지만, 이를 공개하지 않고 있다고도 지적했다.  후지이시 다카요 니가타대 교수는 일본 측 추도식이 "누구를 추도하는지조차 밝히지 않은 채 고인이 겪은 고통과 유족의 슬픔을 외면하고 
있다"고 비판했다.  그는 "과거 니가타현 시민들은 한국에서 사도광산 생존자와 유족을 찾아내 당시의 이야기를 듣고 (일본의) 가해 사실을 직시했다. 
그것이야말로 진정한 추도가 아니겠는가"라고 말했다.  1940년부터 1945년까지 사도광산에서 노역한 조선인 수는 1천519명으로 알려져 있다.  csm@yna.co.kr 제보는 카카오톡 okjebo &lt;저작권자(c) 연합뉴스, 무단 전재-재배포, AI 학습 및 활용 금지&gt; 2026/09/12 17:13 송고2026년09월12일 17시13분 송고</v>
      </c>
    </row>
    <row r="25" spans="4:6" x14ac:dyDescent="0.2">
      <c r="D25" s="3" t="str">
        <f ca="1">IFERROR(__xludf.DUMMYFUNCTION("""COMPUTED_VALUE"""),"李대통령, 국제유가 급등에 ""걱정 안해도 돼…국내는 계속 안정""")</f>
        <v>李대통령, 국제유가 급등에 "걱정 안해도 돼…국내는 계속 안정"</v>
      </c>
      <c r="E25" s="4" t="str">
        <f ca="1">IFERROR(__xludf.DUMMYFUNCTION("""COMPUTED_VALUE"""),"https://www.yna.co.kr/view/AKR20260912037100001?section=politics/all")</f>
        <v>https://www.yna.co.kr/view/AKR20260912037100001?section=politics/all</v>
      </c>
      <c r="F25" s="3" t="str">
        <f ca="1">IFERROR(__xludf.DUMMYFUNCTION("TEXTJOIN("" "", TRUE, IMPORTXML(E25, ""//*[@id='articleWrap']//p""))"),"(서울=연합뉴스) 한상균 기자 = 이재명 대통령이 11일 청와대에서 열린 수석보좌관회의에서 발언하고 있다. 2026.9.11 
[청와대통신사진기자단] xyz@yna.co.kr  (서울=연합뉴스) 설승은 기자 = 이재명 대통령은 12일 중동 지역 긴장에 따른 국제 유가 급등과 관련, ""유가에 관한 한 전혀 
걱정하지 않으셔도 된다""면서 가격 안정을 약속했다.   이 대통령은 이날 엑스(X·옛 트위터)에 중동 지역 긴장 장기화로 국제 유가가 급등하는 가"&amp;"운데 국내 유가의 안정세 지속 여부를 전망한 
기사를 링크하고서 ""국민 여러분, 걱정말라. 휘발유, 경유 등 정제유 가격은 계속 안정된다""면서 이같이 적었다.  이 대통령은 ""원유 특사 파견 등 원유 외교 강화로 원유 수입처를 다변화하고, 장거리 원유 수송비 보조 조치 등으로 70%에 이르던 
원유 중동 의존도를 이미 몇 달 만에 50%대로 낮췄다""며 ""수입 다변화는 앞으로도 계속 강력히 추진한다""고 설명했다.   이어 ""전략 비축유 스와프"&amp;"제 도입으로 원유 공급 안정성도 유지 중""이라며 ""원유와 국제 정제 유가는 폭등 중이지만 국내 정제유는 최고 
가격제와 수출 물량 통제로 무리 없이 안정적 가격과 공급물량을 유지하고 있다""고 강조했다.   그러면서 ""매점매석과 담합을 완전히 막고, '착하디 착한 주유소' 선정 등 선의의 경쟁 체제를 유지시켜 시장 교란도 철저히 봉쇄 
중""이라고 전했다.   또한 ""국내 정유사들은 국제 정제유가 폭등에 따른 이익이 크고 국내 가격과 수출물량 통"&amp;"제에 따른 손실은 정부가 보전해 사상 최대 
수준의 호황을 맞이하고 있다""고 언급했다.   이어 ""대한민국은 현재의 위기를 충분히 이겨낼 수 있을 뿐만 아니라 이를 오히려 기회로 바꿔내고 있다""고 평가했다.   다만 이 대통령은 ""원유 수입의 중동 의존도는 50%로 여전히 높은데 전쟁은 언제 끝날지 모르고 원유 시장은 수렁에 빠져들고 
있다""며, ""원활한 원유 수송로 확보, 원유 수송 선박과 선원들의 안전 확보에도 최선을 다하겠다""고 약속했"&amp;"다.  나아가 ""어려운 환경 속에서도 더 나을 미래를 위해 국정에 협조하며 함께 애써 주시는 국민 여러분께 감사드린다""고 말했다. [재판매 및 DB 금지]  ses@yna.co.kr 제보는 카카오톡 okjebo &lt;저작권자(c) 연합뉴스, 무단 전재-재배포, AI 학습 및 활용 금지&gt; 2026/09/12 17:11 송고2026년09월12일 17시11분 송고")</f>
        <v>(서울=연합뉴스) 한상균 기자 = 이재명 대통령이 11일 청와대에서 열린 수석보좌관회의에서 발언하고 있다. 2026.9.11 
[청와대통신사진기자단] xyz@yna.co.kr  (서울=연합뉴스) 설승은 기자 = 이재명 대통령은 12일 중동 지역 긴장에 따른 국제 유가 급등과 관련, "유가에 관한 한 전혀 
걱정하지 않으셔도 된다"면서 가격 안정을 약속했다.   이 대통령은 이날 엑스(X·옛 트위터)에 중동 지역 긴장 장기화로 국제 유가가 급등하는 가운데 국내 유가의 안정세 지속 여부를 전망한 
기사를 링크하고서 "국민 여러분, 걱정말라. 휘발유, 경유 등 정제유 가격은 계속 안정된다"면서 이같이 적었다.  이 대통령은 "원유 특사 파견 등 원유 외교 강화로 원유 수입처를 다변화하고, 장거리 원유 수송비 보조 조치 등으로 70%에 이르던 
원유 중동 의존도를 이미 몇 달 만에 50%대로 낮췄다"며 "수입 다변화는 앞으로도 계속 강력히 추진한다"고 설명했다.   이어 "전략 비축유 스와프제 도입으로 원유 공급 안정성도 유지 중"이라며 "원유와 국제 정제 유가는 폭등 중이지만 국내 정제유는 최고 
가격제와 수출 물량 통제로 무리 없이 안정적 가격과 공급물량을 유지하고 있다"고 강조했다.   그러면서 "매점매석과 담합을 완전히 막고, '착하디 착한 주유소' 선정 등 선의의 경쟁 체제를 유지시켜 시장 교란도 철저히 봉쇄 
중"이라고 전했다.   또한 "국내 정유사들은 국제 정제유가 폭등에 따른 이익이 크고 국내 가격과 수출물량 통제에 따른 손실은 정부가 보전해 사상 최대 
수준의 호황을 맞이하고 있다"고 언급했다.   이어 "대한민국은 현재의 위기를 충분히 이겨낼 수 있을 뿐만 아니라 이를 오히려 기회로 바꿔내고 있다"고 평가했다.   다만 이 대통령은 "원유 수입의 중동 의존도는 50%로 여전히 높은데 전쟁은 언제 끝날지 모르고 원유 시장은 수렁에 빠져들고 
있다"며, "원활한 원유 수송로 확보, 원유 수송 선박과 선원들의 안전 확보에도 최선을 다하겠다"고 약속했다.  나아가 "어려운 환경 속에서도 더 나을 미래를 위해 국정에 협조하며 함께 애써 주시는 국민 여러분께 감사드린다"고 말했다. [재판매 및 DB 금지]  ses@yna.co.kr 제보는 카카오톡 okjebo &lt;저작권자(c) 연합뉴스, 무단 전재-재배포, AI 학습 및 활용 금지&gt; 2026/09/12 17:11 송고2026년09월12일 17시11분 송고</v>
      </c>
    </row>
    <row r="26" spans="4:6" x14ac:dyDescent="0.2">
      <c r="D26" s="3" t="str">
        <f ca="1">IFERROR(__xludf.DUMMYFUNCTION("""COMPUTED_VALUE"""),"""호르무즈 파병 요구 거부해야""…시민사회단체, 청와대까지 행진")</f>
        <v>"호르무즈 파병 요구 거부해야"…시민사회단체, 청와대까지 행진</v>
      </c>
      <c r="E26" s="4" t="str">
        <f ca="1">IFERROR(__xludf.DUMMYFUNCTION("""COMPUTED_VALUE"""),"https://www.yna.co.kr/view/AKR20260912036700004?section=politics/all")</f>
        <v>https://www.yna.co.kr/view/AKR20260912036700004?section=politics/all</v>
      </c>
      <c r="F26" s="3" t="str">
        <f ca="1">IFERROR(__xludf.DUMMYFUNCTION("TEXTJOIN("" "", TRUE, IMPORTXML(E26, ""//*[@id='articleWrap']//p""))"),"(서울=연합뉴스) 박동주 기자 = 12일 서울 종로구 거리에서 호르무즈 파병 반대 시민대행진이 열리고 있다. 2026.9.12 
pdj6635@yna.co.kr  (서울=연합뉴스) 정윤주 기자 = 시민사회단체들이 12일 호르무즈 해협 파병에 반대하는 목소리를 내며 서울 도심을 지나 청와대 앞까지 
행진했다.   참여연대, 자주통일평화연대 등 시민단체들은 이날 오후 4시 서울 종로구 르메이에르 빌딩 앞에 모여 '호르무즈 파병 반대 시민 대행진' 
집회를 "&amp;"열었다.   이 자리에는 종교·시민단체 540여개가 참여했다고 주최 측은 밝혔다.  이들은 집회에 앞서 '미국은 침략전쟁 중단하라', '한국 정부는 호르무즈 파병 단호히 거부하라', '우리는 평화를 원한다' 등의 
구호를 외쳤다.  '미국은 침략전쟁을 멈춰라', '한국 정부는 호르무즈 파병 거부하라' 등이 적힌 손팻말도 들었다.   이들은 ""국방부가 최근 호르무즈 파병 관련 아랍에미리트에 현지조사단을 보냈고, 국가안전보장회의(NSC)에 조사 결과를 보"&amp;"고할 것이라는 
이야기가 나오면서 파병을 결정하는 것 아니냐는 우려가 커지고 있다""며 ""미국의 대이란전에 군을 파병하는 것은 침략전쟁에 가담하는 
것""이라고 주장했다.  대한불교조계종 선우스님은 이날 연단에 올라 ""폭력은 더 큰 폭력을 낳고 보복은 또 다른 보복의 악순환을 가져올 뿐""이라며 ""국익이라는 
이름의 포장지가 생명의 무게보다 무거울 수 없고, 타국의 피 위에 세워지는 평화란 존재할 수 없다""고 강조했다.   입대를 앞둔 아들을 뒀"&amp;"다고 소개한 김숙영 정치하는엄마들 공동대표는 ""파병을 검토한다는 말은 외교 용어가 아니라 아들이 전쟁이 벌어지는 
지역에 갈 수도 있다는 청천벽력과 같은 말""이라며 ""이재명 정부가 파병을 결정한다면 어떤 식으로든 대통령이 그 책임을 져야 할 
것""이라고 말했다.  이들은 집회를 마친 후 주한미국대사관을 지나 청와대 앞까지 행진했다.   한편 진보 성향 시민단체 촛불행동도 이날 오후 5시 주한미국대사관 인근에서 호르무즈 파병 반대 집회를 열 계획이"&amp;"다. (서울=연합뉴스) 박동주 기자 = 12일 서울 종로구 거리에서 열린 '호르무즈 파병 반대 시민대행진'에서 한 어린이가 손팻말을 잡고 
있다. 2026.9.12 pdj6635@yna.co.kr  jungle@yna.co.kr 제보는 카카오톡 okjebo &lt;저작권자(c) 연합뉴스, 무단 전재-재배포, AI 학습 및 활용 금지&gt; 2026/09/12 16:46 송고2026년09월12일 16시46분 송고")</f>
        <v>(서울=연합뉴스) 박동주 기자 = 12일 서울 종로구 거리에서 호르무즈 파병 반대 시민대행진이 열리고 있다. 2026.9.12 
pdj6635@yna.co.kr  (서울=연합뉴스) 정윤주 기자 = 시민사회단체들이 12일 호르무즈 해협 파병에 반대하는 목소리를 내며 서울 도심을 지나 청와대 앞까지 
행진했다.   참여연대, 자주통일평화연대 등 시민단체들은 이날 오후 4시 서울 종로구 르메이에르 빌딩 앞에 모여 '호르무즈 파병 반대 시민 대행진' 
집회를 열었다.   이 자리에는 종교·시민단체 540여개가 참여했다고 주최 측은 밝혔다.  이들은 집회에 앞서 '미국은 침략전쟁 중단하라', '한국 정부는 호르무즈 파병 단호히 거부하라', '우리는 평화를 원한다' 등의 
구호를 외쳤다.  '미국은 침략전쟁을 멈춰라', '한국 정부는 호르무즈 파병 거부하라' 등이 적힌 손팻말도 들었다.   이들은 "국방부가 최근 호르무즈 파병 관련 아랍에미리트에 현지조사단을 보냈고, 국가안전보장회의(NSC)에 조사 결과를 보고할 것이라는 
이야기가 나오면서 파병을 결정하는 것 아니냐는 우려가 커지고 있다"며 "미국의 대이란전에 군을 파병하는 것은 침략전쟁에 가담하는 
것"이라고 주장했다.  대한불교조계종 선우스님은 이날 연단에 올라 "폭력은 더 큰 폭력을 낳고 보복은 또 다른 보복의 악순환을 가져올 뿐"이라며 "국익이라는 
이름의 포장지가 생명의 무게보다 무거울 수 없고, 타국의 피 위에 세워지는 평화란 존재할 수 없다"고 강조했다.   입대를 앞둔 아들을 뒀다고 소개한 김숙영 정치하는엄마들 공동대표는 "파병을 검토한다는 말은 외교 용어가 아니라 아들이 전쟁이 벌어지는 
지역에 갈 수도 있다는 청천벽력과 같은 말"이라며 "이재명 정부가 파병을 결정한다면 어떤 식으로든 대통령이 그 책임을 져야 할 
것"이라고 말했다.  이들은 집회를 마친 후 주한미국대사관을 지나 청와대 앞까지 행진했다.   한편 진보 성향 시민단체 촛불행동도 이날 오후 5시 주한미국대사관 인근에서 호르무즈 파병 반대 집회를 열 계획이다. (서울=연합뉴스) 박동주 기자 = 12일 서울 종로구 거리에서 열린 '호르무즈 파병 반대 시민대행진'에서 한 어린이가 손팻말을 잡고 
있다. 2026.9.12 pdj6635@yna.co.kr  jungle@yna.co.kr 제보는 카카오톡 okjebo &lt;저작권자(c) 연합뉴스, 무단 전재-재배포, AI 학습 및 활용 금지&gt; 2026/09/12 16:46 송고2026년09월12일 16시46분 송고</v>
      </c>
    </row>
  </sheetData>
  <phoneticPr fontId="4" type="noConversion"/>
  <hyperlinks>
    <hyperlink ref="C2" r:id="rId1"/>
    <hyperlink ref="E3" r:id="rId2" display="https://www.yna.co.kr/view/AKR20260912051000001?section=politics/all"/>
    <hyperlink ref="E4" r:id="rId3" display="https://www.yna.co.kr/view/AKR20260911028800052?section=politics/all"/>
    <hyperlink ref="E5" r:id="rId4" display="https://www.yna.co.kr/view/AKR20260911115600001?section=politics/all"/>
    <hyperlink ref="E6" r:id="rId5" display="https://www.yna.co.kr/view/AKR20260910117300073?section=politics/all"/>
    <hyperlink ref="E7" r:id="rId6" display="https://www.yna.co.kr/view/AKR20260912042300004?section=politics/all"/>
    <hyperlink ref="E8" r:id="rId7" display="https://www.yna.co.kr/view/AKR20260911111100065?section=politics/all"/>
    <hyperlink ref="E9" r:id="rId8" display="https://www.yna.co.kr/view/AKR20260912040300001?section=politics/all"/>
    <hyperlink ref="E10" r:id="rId9" display="https://www.yna.co.kr/view/AKR20260911164000001?section=politics/all"/>
    <hyperlink ref="E11" r:id="rId10" display="https://www.yna.co.kr/view/AKR20260911128000530?section=politics/all"/>
    <hyperlink ref="E12" r:id="rId11" display="https://www.yna.co.kr/view/AKR20260911099200063?section=politics/all"/>
    <hyperlink ref="E13" r:id="rId12" display="https://www.yna.co.kr/view/AKR20260911154200001?section=politics/all"/>
    <hyperlink ref="E14" r:id="rId13" display="https://www.yna.co.kr/view/AKR20260911163300004?section=politics/all"/>
    <hyperlink ref="E15" r:id="rId14" display="https://www.yna.co.kr/view/AKR20260912044200002?section=politics/all"/>
    <hyperlink ref="E16" r:id="rId15" display="https://www.yna.co.kr/view/AKR20260912045800001?section=politics/all"/>
    <hyperlink ref="E17" r:id="rId16" display="https://www.yna.co.kr/view/AKR20260912036800001?section=politics/all"/>
    <hyperlink ref="E18" r:id="rId17" display="https://www.yna.co.kr/view/AKR20260911114200001?section=politics/all"/>
    <hyperlink ref="E19" r:id="rId18" display="https://www.yna.co.kr/view/AKR20260912035351001?section=politics/all"/>
    <hyperlink ref="E20" r:id="rId19" display="https://www.yna.co.kr/view/AKR20260912023151054?section=politics/all"/>
    <hyperlink ref="E21" r:id="rId20" display="https://www.yna.co.kr/view/AKR20260912043600001?section=politics/all"/>
    <hyperlink ref="E22" r:id="rId21" display="https://www.yna.co.kr/view/AKR20260912042400001?section=politics/all"/>
    <hyperlink ref="E23" r:id="rId22" display="https://www.yna.co.kr/view/AKR20260912038200001?section=politics/all"/>
    <hyperlink ref="E24" r:id="rId23" display="https://www.yna.co.kr/view/AKR20260912036251073?section=politics/all"/>
    <hyperlink ref="E25" r:id="rId24" display="https://www.yna.co.kr/view/AKR20260912037100001?section=politics/all"/>
    <hyperlink ref="E26" r:id="rId25" display="https://www.yna.co.kr/view/AKR20260912036700004?section=politics/all"/>
  </hyperlinks>
  <pageMargins left="0.7" right="0.7" top="0.75" bottom="0.75" header="0.3" footer="0.3"/>
  <pageSetup paperSize="9" orientation="portrait"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KHG</cp:lastModifiedBy>
  <dcterms:modified xsi:type="dcterms:W3CDTF">2026-09-13T01:44:08Z</dcterms:modified>
</cp:coreProperties>
</file>