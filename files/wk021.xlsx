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<sst xmlns="http://schemas.openxmlformats.org/spreadsheetml/2006/main" count="8" uniqueCount="8">
  <si>
    <t>구분</t>
  </si>
  <si>
    <t>도메인</t>
  </si>
  <si>
    <t xml:space="preserve"> URL</t>
  </si>
  <si>
    <t>헤드라인</t>
  </si>
  <si>
    <t>기사원문URL</t>
  </si>
  <si>
    <t>기사내용</t>
  </si>
  <si>
    <t>경제</t>
  </si>
  <si>
    <t>https://www.kca.go.kr/home/sub.do?menukey=4005</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</si>
</sst>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xf borderId="0" fillId="0" fontId="1"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www.kca.go.kr/home/sub.do?menukey=4005" TargetMode="External"/><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0.63"/>
    <col customWidth="1" min="4" max="4" width="28.38"/>
    <col customWidth="1" min="5" max="5" width="18.75"/>
  </cols>
  <sheetData>
    <row r="1">
      <c r="A1" s="1" t="s">
        <v>0</v>
      </c>
      <c r="B1" s="1" t="s">
        <v>1</v>
      </c>
      <c r="C1" s="1" t="s">
        <v>2</v>
      </c>
      <c r="D1" s="1" t="s">
        <v>3</v>
      </c>
      <c r="E1" s="1" t="s">
        <v>4</v>
      </c>
      <c r="F1" s="1" t="s">
        <v>5</v>
      </c>
    </row>
    <row r="2">
      <c r="B2" s="1" t="s">
        <v>6</v>
      </c>
      <c r="C2" s="2" t="s">
        <v>7</v>
      </c>
      <c r="D2" s="3" t="str">
        <f>IFERROR(__xludf.DUMMYFUNCTION("IMPORTXML(C2,""//*[@id='cmsBoardData']/div[1]/table/tbody/tr/td[2]/a"")"),"휴가철 렌터카 예약 시 환불 약관 꼼꼼히 따져야")</f>
        <v>휴가철 렌터카 예약 시 환불 약관 꼼꼼히 따져야</v>
      </c>
      <c r="E2" s="3" t="str">
        <f>IFERROR(__xludf.DUMMYFUNCTION("IMPORTXML(""https://www.kca.go.kr/home/sub.do?menukey=4005"", ""//*[@id='cmsBoardData']/div[1]/table/tbody/tr/td[2]/a/@href"")"),"?menukey=4005&amp;mode=view&amp;no=1004542798")</f>
        <v>?menukey=4005&amp;mode=view&amp;no=1004542798</v>
      </c>
      <c r="F2" s="3" t="str">
        <f>IFERROR(__xludf.DUMMYFUNCTION("TEXTJOIN("" "", TRUE, IMPORTXML(""https://www.kca.go.kr/home/sub.do""&amp;E2, ""//*[@id='view_wrap']""))"),"소비자와 함께하는 피해예방주의보 휴가철 렌터카 예약 시 환불 약관 꼼꼼히 따져야 - 피해예방주의보 -  본격적인 여름 휴가철을 앞두고 국내 여행 수요가 늘어날 것으로 예상된다. 이에 한국소비자원(원장 윤수현)이 여름철 휴가지 렌터카 이용객 
증가에 대비해 소비자 피해예방주의보를 발령했다. ㅁ 렌터카 관련 피해 ‘계약 관련’ 분쟁이 절반 이상 차지 최근 3년간(’23년~’25년) 한국소비자원에 접수된 렌터카 계약 관련 소비자 피해는 총 1,438건으로 매"&amp;"년 증가하는 추세다. 렌터카 피해구제 신청건수: ’23년 408건 → ’24년 502건(23.0%↑) → ’25년 528건(5.2%↑) 피해유형은 ‘계약 관련’ 분쟁이 51.0%(734건)로 가장 많았고, 이어서 수리비, 면책금, 휴차료 등 사고 처리비용을 과다하게 
요구하는 ‘사고 관련’ 피해가 18.8%(270건)로 나타났다. 반납 절차를 준수하지 않았다며 페널티 비용이 청구되는 등 ‘반납 관련’ 
피해도 13.5%(194건)를 차지했다. ‘계약 관"&amp;"련’ 분쟁의 52.4%(384건)는 계약을 해제할 때 예약금 환급을 지연 ·거부하거나, 중도에 해지하면서 과도한 위약금을 
청구하는 사례가 가장 많았다. 이어서 사전에 고지한 약관을 이행하지 않는 계약 불이행이 17.8%(131건)로 뒤를 이었다. 이 밖에도 
사업자가 자기차량손해 보전을 위해 운영하는 차량 손해면책제도* 적용을 거부하는 경우가 12.8%(94건)였다. * 고객 과실로 렌터카가 파손되었을 때 차량 수리비 등 배상 책임을 업체가 정한 기준"&amp;"에 따라 면제하거나 감면해주는 제도 렌터카 계약 시 환불·취소 수수료 등 약관 확인 필요 일부 렌터카 회사는 특가 상품이라는 이유로 약관에 예약 취소 및 ‘환불 불가’ 조건을 기재하고 있었다. 계약을 체결하기 전에는 중도 
해지를 감안하여 취소 수수료 기준, 환불 여부, 보험료 환불 범위 등을 꼼꼼히 따져봐야 한다. 「자동차대여 표준약관」과 「소비자분쟁해결기준」에서도 ‘이용일시로부터 24시간 이전 예약 취소 시 예약금 전액 환불’, ‘24시간 이내 
취"&amp;"소 시 위약금(대여요금의 10%) 공제 후 환불’을 규정하고 있다. 또한 ‘환불 불가’ 약관을 사전 고지했다는 이유만으로 이용예정일 전 취소에 대해 환불을 거부하는 것은 「약관의 규제에 관한 법률」 
제8조에 따라 과중한 손해배상 의무 부과에 해당해 불공정 약관이 될 수 있으므로 소비자의 주의가 필요하다. 한국소비자원은 소비자들에게 휴가철 렌터카 피해 예방을 위해 ▲계약 시 취소 수수료, 환불 기준, 차량 손해면책제도 등 거래 조건을 
꼼꼼히 확인할 것"&amp;", ▲차량 인수 시 외관과 기능 작동 여부 등을 점검하고 기록에 남길 것, ▲사고 발생 시 현장에서 즉시 사업자에게 
알릴 것, ▲사고로 수리가 필요한 경우 사업자와 협의해 정비공장을 정하고 견적서와 정비명세서를 요구할 것을 당부했다. 아울러 렌터카 반납 시에는 연료대금 정산 등 주의사항을 확인하고, 반드시 지정된 장소에 차량을 반납해 관련 분쟁을 사전에 방지할 것을 
강조했다. 자세한 사항은 첨부 파일을 참조하시기 바랍니다. 피해발생 문의처  1372"&amp;"소비자상담센터 국번없이 1372 한국소비자원 http://www.kca.go.kr ")</f>
        <v>소비자와 함께하는 피해예방주의보 휴가철 렌터카 예약 시 환불 약관 꼼꼼히 따져야 - 피해예방주의보 -  본격적인 여름 휴가철을 앞두고 국내 여행 수요가 늘어날 것으로 예상된다. 이에 한국소비자원(원장 윤수현)이 여름철 휴가지 렌터카 이용객 
증가에 대비해 소비자 피해예방주의보를 발령했다. ㅁ 렌터카 관련 피해 ‘계약 관련’ 분쟁이 절반 이상 차지 최근 3년간(’23년~’25년) 한국소비자원에 접수된 렌터카 계약 관련 소비자 피해는 총 1,438건으로 매년 증가하는 추세다. 렌터카 피해구제 신청건수: ’23년 408건 → ’24년 502건(23.0%↑) → ’25년 528건(5.2%↑) 피해유형은 ‘계약 관련’ 분쟁이 51.0%(734건)로 가장 많았고, 이어서 수리비, 면책금, 휴차료 등 사고 처리비용을 과다하게 
요구하는 ‘사고 관련’ 피해가 18.8%(270건)로 나타났다. 반납 절차를 준수하지 않았다며 페널티 비용이 청구되는 등 ‘반납 관련’ 
피해도 13.5%(194건)를 차지했다. ‘계약 관련’ 분쟁의 52.4%(384건)는 계약을 해제할 때 예약금 환급을 지연 ·거부하거나, 중도에 해지하면서 과도한 위약금을 
청구하는 사례가 가장 많았다. 이어서 사전에 고지한 약관을 이행하지 않는 계약 불이행이 17.8%(131건)로 뒤를 이었다. 이 밖에도 
사업자가 자기차량손해 보전을 위해 운영하는 차량 손해면책제도* 적용을 거부하는 경우가 12.8%(94건)였다. * 고객 과실로 렌터카가 파손되었을 때 차량 수리비 등 배상 책임을 업체가 정한 기준에 따라 면제하거나 감면해주는 제도 렌터카 계약 시 환불·취소 수수료 등 약관 확인 필요 일부 렌터카 회사는 특가 상품이라는 이유로 약관에 예약 취소 및 ‘환불 불가’ 조건을 기재하고 있었다. 계약을 체결하기 전에는 중도 
해지를 감안하여 취소 수수료 기준, 환불 여부, 보험료 환불 범위 등을 꼼꼼히 따져봐야 한다. 「자동차대여 표준약관」과 「소비자분쟁해결기준」에서도 ‘이용일시로부터 24시간 이전 예약 취소 시 예약금 전액 환불’, ‘24시간 이내 
취소 시 위약금(대여요금의 10%) 공제 후 환불’을 규정하고 있다. 또한 ‘환불 불가’ 약관을 사전 고지했다는 이유만으로 이용예정일 전 취소에 대해 환불을 거부하는 것은 「약관의 규제에 관한 법률」 
제8조에 따라 과중한 손해배상 의무 부과에 해당해 불공정 약관이 될 수 있으므로 소비자의 주의가 필요하다. 한국소비자원은 소비자들에게 휴가철 렌터카 피해 예방을 위해 ▲계약 시 취소 수수료, 환불 기준, 차량 손해면책제도 등 거래 조건을 
꼼꼼히 확인할 것, ▲차량 인수 시 외관과 기능 작동 여부 등을 점검하고 기록에 남길 것, ▲사고 발생 시 현장에서 즉시 사업자에게 
알릴 것, ▲사고로 수리가 필요한 경우 사업자와 협의해 정비공장을 정하고 견적서와 정비명세서를 요구할 것을 당부했다. 아울러 렌터카 반납 시에는 연료대금 정산 등 주의사항을 확인하고, 반드시 지정된 장소에 차량을 반납해 관련 분쟁을 사전에 방지할 것을 
강조했다. 자세한 사항은 첨부 파일을 참조하시기 바랍니다. 피해발생 문의처  1372소비자상담센터 국번없이 1372 한국소비자원 http://www.kca.go.kr </v>
      </c>
    </row>
    <row r="3">
      <c r="D3" s="3" t="str">
        <f>IFERROR(__xludf.DUMMYFUNCTION("""COMPUTED_VALUE"""),"청소·하수도위생 서비스, 현장 추가 비용 요구 주의해야")</f>
        <v>청소·하수도위생 서비스, 현장 추가 비용 요구 주의해야</v>
      </c>
      <c r="E3" s="3" t="str">
        <f>IFERROR(__xludf.DUMMYFUNCTION("""COMPUTED_VALUE"""),"?menukey=4005&amp;mode=view&amp;no=1004542692")</f>
        <v>?menukey=4005&amp;mode=view&amp;no=1004542692</v>
      </c>
      <c r="F3" s="3" t="str">
        <f>IFERROR(__xludf.DUMMYFUNCTION("TEXTJOIN("" "", TRUE, IMPORTXML(""https://www.kca.go.kr/home/sub.do""&amp;E3, ""//*[@id='view_wrap']""))"),"소비자와 함께하는 피해예방주의보 청소·하수도위생 서비스, 현장 추가 비용 요구 주의해야 - 피해예방주의보 -  청소 및 하수도위생 서비스* 이용 중 추가 비용 요구로 인한 피해가 매년 큰 폭으로 증가해 소비자의 주의가 요구된다. 특히 방문 견적 
없이 비대면으로 계약한 후, 당일 현장에서 오염도나 집 구조 등을 이유로 추가 비용을 요구하는 사례가 다발하는 것으로 나타났다. * (하수도위생 서비스) 건물 내외의 하수관이 막히거나 역류하는 증상을 해결하고,"&amp;" 배관 세척 또는 수리를 통해 위생 환경을 개선하는 
서비스 한국소비자원(원장 윤수현)이 최근 3년간(’23년~’26년 1분기) 접수된 청소·하수도위생 서비스 관련 피해구제 사건 총 1,204건을 
분석한 결과, 추가 비용 요구로 인한 피해가 전체의 24.3%에 달했으며, 올해 1분기에만 전년 대비 약 3.3배 증가한 것으로 
나타났다. 특히 하수도위생 서비스의 증가폭이 두드러졌다. ㅁ 청소 당일 오염도·집 구조 등을 이유로 추가 비용 요구 많아 청소서"&amp;"비스 관련 피해 중에서는 청소 상태 불량 등 ‘서비스 품질 미흡’이 42.8%(510건)로 가장 많았고, ‘추가 비용 요구’ 
20.5%(244건), ‘가재도구 파손·분실’ 15.0%(179건)가 뒤를 이었다. ‘추가 비용 요구’ 관련 분쟁의 대부분은 방문 견적 없이 비대면 계약을 체결했다가 사업자가 청소 당일에 오염도나 집 구조 등을 이유로 
추가 비용을 요구하면서 발생한 것으로 나타났다. 소비자가 수용하지 않으면 사업자가 청소 계약 이행과 계약금 환"&amp;"불을 거부하는 경우도 
많았다. ㅁ 변기 등 개방 후 현장에서 수십만 원 추가 비용 요구하기도 하수도위생 서비스 관련 피해는 수리 후 효과 없음 등 ‘서비스 품질 미흡’이 48.9%(68건)로 가장 많았고, ‘추가 비용 요구’가 
34.5%(48건)로 그 뒤를 이었다. 특히 하수도위생 서비스 중 ‘하수도 뚫음 작업’은 홈페이지에 구체적인 추가 비용 안내 없이 5만 원 수준의 기본요금만 제시하고, 
현장에서 수십만 원을 추가로 요구하는 사례가 많았다. 변"&amp;"기 등의 하수도를 이미 개방한 상태에서 추가 비용을 청구해 소비자가 지급을 
거부하기 어렵게 만드는 경우도 다수 확인됐다. 한국소비자원은 소비자들에게 ▲온라인을 통한 비대면 계약 체결보다는 방문 견적 후 계약을 체결할 것, ▲계약 체결 전 추가 비용 사유 및 
금액을 미리 확인할 것, ▲작업 완료 후 잔금 지급 전 현장을 확인할 것, ▲분쟁 발생에 대비해 작업 전후 사진 등 입증 자료를 확보해 
둘 것을 강조했다. 자세한 사항은 첨부 파일을 참조하시기 "&amp;"바랍니다. 피해발생 문의처  1372소비자상담센터  국번없이 1372 한국소비자원 http://www.kca.go.kr ")</f>
        <v>소비자와 함께하는 피해예방주의보 청소·하수도위생 서비스, 현장 추가 비용 요구 주의해야 - 피해예방주의보 -  청소 및 하수도위생 서비스* 이용 중 추가 비용 요구로 인한 피해가 매년 큰 폭으로 증가해 소비자의 주의가 요구된다. 특히 방문 견적 
없이 비대면으로 계약한 후, 당일 현장에서 오염도나 집 구조 등을 이유로 추가 비용을 요구하는 사례가 다발하는 것으로 나타났다. * (하수도위생 서비스) 건물 내외의 하수관이 막히거나 역류하는 증상을 해결하고, 배관 세척 또는 수리를 통해 위생 환경을 개선하는 
서비스 한국소비자원(원장 윤수현)이 최근 3년간(’23년~’26년 1분기) 접수된 청소·하수도위생 서비스 관련 피해구제 사건 총 1,204건을 
분석한 결과, 추가 비용 요구로 인한 피해가 전체의 24.3%에 달했으며, 올해 1분기에만 전년 대비 약 3.3배 증가한 것으로 
나타났다. 특히 하수도위생 서비스의 증가폭이 두드러졌다. ㅁ 청소 당일 오염도·집 구조 등을 이유로 추가 비용 요구 많아 청소서비스 관련 피해 중에서는 청소 상태 불량 등 ‘서비스 품질 미흡’이 42.8%(510건)로 가장 많았고, ‘추가 비용 요구’ 
20.5%(244건), ‘가재도구 파손·분실’ 15.0%(179건)가 뒤를 이었다. ‘추가 비용 요구’ 관련 분쟁의 대부분은 방문 견적 없이 비대면 계약을 체결했다가 사업자가 청소 당일에 오염도나 집 구조 등을 이유로 
추가 비용을 요구하면서 발생한 것으로 나타났다. 소비자가 수용하지 않으면 사업자가 청소 계약 이행과 계약금 환불을 거부하는 경우도 
많았다. ㅁ 변기 등 개방 후 현장에서 수십만 원 추가 비용 요구하기도 하수도위생 서비스 관련 피해는 수리 후 효과 없음 등 ‘서비스 품질 미흡’이 48.9%(68건)로 가장 많았고, ‘추가 비용 요구’가 
34.5%(48건)로 그 뒤를 이었다. 특히 하수도위생 서비스 중 ‘하수도 뚫음 작업’은 홈페이지에 구체적인 추가 비용 안내 없이 5만 원 수준의 기본요금만 제시하고, 
현장에서 수십만 원을 추가로 요구하는 사례가 많았다. 변기 등의 하수도를 이미 개방한 상태에서 추가 비용을 청구해 소비자가 지급을 
거부하기 어렵게 만드는 경우도 다수 확인됐다. 한국소비자원은 소비자들에게 ▲온라인을 통한 비대면 계약 체결보다는 방문 견적 후 계약을 체결할 것, ▲계약 체결 전 추가 비용 사유 및 
금액을 미리 확인할 것, ▲작업 완료 후 잔금 지급 전 현장을 확인할 것, ▲분쟁 발생에 대비해 작업 전후 사진 등 입증 자료를 확보해 
둘 것을 강조했다. 자세한 사항은 첨부 파일을 참조하시기 바랍니다. 피해발생 문의처  1372소비자상담센터  국번없이 1372 한국소비자원 http://www.kca.go.kr </v>
      </c>
    </row>
    <row r="4">
      <c r="D4" s="3" t="str">
        <f>IFERROR(__xludf.DUMMYFUNCTION("""COMPUTED_VALUE"""),"20·30대, 금전적 보상 있는 ‘리워드형’ 인터넷교육서비스 피해 많아")</f>
        <v>20·30대, 금전적 보상 있는 ‘리워드형’ 인터넷교육서비스 피해 많아</v>
      </c>
      <c r="E4" s="3" t="str">
        <f>IFERROR(__xludf.DUMMYFUNCTION("""COMPUTED_VALUE"""),"?menukey=4005&amp;mode=view&amp;no=1004542193")</f>
        <v>?menukey=4005&amp;mode=view&amp;no=1004542193</v>
      </c>
      <c r="F4" s="3" t="str">
        <f>IFERROR(__xludf.DUMMYFUNCTION("TEXTJOIN("" "", TRUE, IMPORTXML(""https://www.kca.go.kr/home/sub.do""&amp;E4, ""//*[@id='view_wrap']""))"),"소비자와 함께하는 피해예방주의보 20·30대, 금전적 보상 있는 ‘리워드형’ 인터넷교육서비스 피해 많아 - 피해예방주의보 -  최근 취업난과 자기계발 수요 증가로 시간이나 장소의 제약 없이 수강할 수 있는 인터넷교육서비스 이용이 증가*하면서 관련 소비자 피해도 
늘고 있다. * 이러닝 20·30대 지출액: (’22년) 12,300억원 (’23년) 13,242억원, (’24년) 14,224억원, (’25년) 
15,016억원 (2025년 이러닝산업 실태조"&amp;"사, 산업통상자원부) 특히 20·30대 소비자를 중심으로 특정 조건 충족 시 현금성 포인트(또는 적립금)를 지급하거나 수강료를 환급하는 ‘리워드형 상품’ 
관련 피해가 증가하고 있어, 소비자들의 각별한 주의가 필요하다. ㅁ 인터넷교육서비스 관련 피해, 20·30대 소비자가 절반 가까이 차지 최근 5년간(’21년~’25년) 한국소비자원(원장 윤수현)에 접수된 인터넷교육서비스 관련 피해구제 신청 건은 총 4,202건으로, 이 
중 20·30대 소비자가 48"&amp;".2%(2,024건)를 차지했다. 연도별로는 ’24년부터 20·30대 신청 건수가 급증해 매년 전체의 
과반을 넘어서고 있다. ㅁ 20·30대 소비자 3명 중 1명은 ‘리워드형 상품’ 관련 피해 전체 20·30대 피해 건수(2,024건) 중 인터넷교육서비스 유형 확인이 가능한 1,936건을 분석한 결과, ‘외국어’가 
32.5%(629건)로 가장 많았고, 다음으로 ‘직무·취업역량*’이 24.0%(464건), ‘공무원시험’이 12.1%(235건), 
‘자"&amp;"격증’이 10.5%(204건) 순으로 나타났다. 특히 ‘외국어’와 ‘직무·취업역량’, ‘재테크·부업’은 ’24년부터 피해가 크게 
증가했다. * 직무·취업역량: 취업 컨설팅, 코딩·IT 교육 등 취업 및 직무능력 향상 목적의 교육서비스 한편 인터넷교육서비스 관련 20·30대 피해의 32.3%(623건)는 시험 합격 시 수강료를 환급하거나 일정 학습량 달성 시 현금성 
포인트(또는 적립금)를 지급하는 ‘리워드형 상품’ 관련 피해로 확인됐다. 이는 ’24년"&amp;"부터 리워드형 상품이 시장에 확산되면서 관련 
피해도 증가하고 있는 것으로 분석된다. ㅁ 20·30대 리워드형 상품, 위약금 과다 청구와 페이백 등 미지급 관련 분쟁이 58.6% 20·30대의 리워드형 상품 관련 피해 623건을 피해유형별로 살펴보면 소비자의 계약해제·해지를 요구할 때 과도하게 위약금을 청구하는 
‘위약금 과다 청구’가 34.0%(212건)로 가장 많았다. 또한 조건을 충족할 때는 수강료 환급이나 포인트(또는 적립금)를 지급하기로 
했음"&amp;"에도 이를 이행하지 않은 ‘페이백 등 미지급’이 24.6%(153건)로 나타났다. 이 외에도 무료로 수강기간을 연장·갱신해주기로 했음에도 이를 이행하지 않은 ‘연장·갱신 미이행’이 16.9%(105건), 광고 내용과 
다른 서비스로 인한 ‘허위·과장광고’가 9.1%(57건), 계약서를 교부하지 않거나, 위약금 청구 기준 미안내 등 ‘정보제공 미흡’이 
5.6%(35건) 등으로 분석됐다. 한국소비자원은 이번 분석 결과를 바탕으로 소비자들에게 ▲‘리워드형 "&amp;"상품’ 선택 시 보상 지급 조건 등 세부 기준을 계약 전에 확인할 것 
▲중도해지 시 환급 기준과 위약금 공제 기준 등을 확인할 것 ▲계약서, 광고 화면, 해지 요구 내역 등 분쟁 관련 자료를 보관할 것 
등을 당부했다. 아울러 ‘전액 환급’, ‘현금 보상’, ‘수익 보장’ 등의 광고 문구에 현혹되지 않도록 주의하고, 이용 후기나 무료 체험 강의 등을 
통해 꼭 필요한 교육 서비스인지 확인한 후 계약할 것을 강조했다. 자세한 사항은 첨부 파일을 참조하시"&amp;"기 바랍니다. 피해발생 문의처     1372소비자상담센터 국번없이 1372 한국소비자원 http://www.kca.go.kr   KCA content transform end 2026.08.05 11:27:11 ")</f>
        <v>소비자와 함께하는 피해예방주의보 20·30대, 금전적 보상 있는 ‘리워드형’ 인터넷교육서비스 피해 많아 - 피해예방주의보 -  최근 취업난과 자기계발 수요 증가로 시간이나 장소의 제약 없이 수강할 수 있는 인터넷교육서비스 이용이 증가*하면서 관련 소비자 피해도 
늘고 있다. * 이러닝 20·30대 지출액: (’22년) 12,300억원 (’23년) 13,242억원, (’24년) 14,224억원, (’25년) 
15,016억원 (2025년 이러닝산업 실태조사, 산업통상자원부) 특히 20·30대 소비자를 중심으로 특정 조건 충족 시 현금성 포인트(또는 적립금)를 지급하거나 수강료를 환급하는 ‘리워드형 상품’ 
관련 피해가 증가하고 있어, 소비자들의 각별한 주의가 필요하다. ㅁ 인터넷교육서비스 관련 피해, 20·30대 소비자가 절반 가까이 차지 최근 5년간(’21년~’25년) 한국소비자원(원장 윤수현)에 접수된 인터넷교육서비스 관련 피해구제 신청 건은 총 4,202건으로, 이 
중 20·30대 소비자가 48.2%(2,024건)를 차지했다. 연도별로는 ’24년부터 20·30대 신청 건수가 급증해 매년 전체의 
과반을 넘어서고 있다. ㅁ 20·30대 소비자 3명 중 1명은 ‘리워드형 상품’ 관련 피해 전체 20·30대 피해 건수(2,024건) 중 인터넷교육서비스 유형 확인이 가능한 1,936건을 분석한 결과, ‘외국어’가 
32.5%(629건)로 가장 많았고, 다음으로 ‘직무·취업역량*’이 24.0%(464건), ‘공무원시험’이 12.1%(235건), 
‘자격증’이 10.5%(204건) 순으로 나타났다. 특히 ‘외국어’와 ‘직무·취업역량’, ‘재테크·부업’은 ’24년부터 피해가 크게 
증가했다. * 직무·취업역량: 취업 컨설팅, 코딩·IT 교육 등 취업 및 직무능력 향상 목적의 교육서비스 한편 인터넷교육서비스 관련 20·30대 피해의 32.3%(623건)는 시험 합격 시 수강료를 환급하거나 일정 학습량 달성 시 현금성 
포인트(또는 적립금)를 지급하는 ‘리워드형 상품’ 관련 피해로 확인됐다. 이는 ’24년부터 리워드형 상품이 시장에 확산되면서 관련 
피해도 증가하고 있는 것으로 분석된다. ㅁ 20·30대 리워드형 상품, 위약금 과다 청구와 페이백 등 미지급 관련 분쟁이 58.6% 20·30대의 리워드형 상품 관련 피해 623건을 피해유형별로 살펴보면 소비자의 계약해제·해지를 요구할 때 과도하게 위약금을 청구하는 
‘위약금 과다 청구’가 34.0%(212건)로 가장 많았다. 또한 조건을 충족할 때는 수강료 환급이나 포인트(또는 적립금)를 지급하기로 
했음에도 이를 이행하지 않은 ‘페이백 등 미지급’이 24.6%(153건)로 나타났다. 이 외에도 무료로 수강기간을 연장·갱신해주기로 했음에도 이를 이행하지 않은 ‘연장·갱신 미이행’이 16.9%(105건), 광고 내용과 
다른 서비스로 인한 ‘허위·과장광고’가 9.1%(57건), 계약서를 교부하지 않거나, 위약금 청구 기준 미안내 등 ‘정보제공 미흡’이 
5.6%(35건) 등으로 분석됐다. 한국소비자원은 이번 분석 결과를 바탕으로 소비자들에게 ▲‘리워드형 상품’ 선택 시 보상 지급 조건 등 세부 기준을 계약 전에 확인할 것 
▲중도해지 시 환급 기준과 위약금 공제 기준 등을 확인할 것 ▲계약서, 광고 화면, 해지 요구 내역 등 분쟁 관련 자료를 보관할 것 
등을 당부했다. 아울러 ‘전액 환급’, ‘현금 보상’, ‘수익 보장’ 등의 광고 문구에 현혹되지 않도록 주의하고, 이용 후기나 무료 체험 강의 등을 
통해 꼭 필요한 교육 서비스인지 확인한 후 계약할 것을 강조했다. 자세한 사항은 첨부 파일을 참조하시기 바랍니다. 피해발생 문의처     1372소비자상담센터 국번없이 1372 한국소비자원 http://www.kca.go.kr   KCA content transform end 2026.08.05 11:27:11 </v>
      </c>
    </row>
    <row r="5">
      <c r="D5" s="3" t="str">
        <f>IFERROR(__xludf.DUMMYFUNCTION("""COMPUTED_VALUE"""),"온라인 숙박 예약 시 환불 불가 상품 신중하게 선택해야")</f>
        <v>온라인 숙박 예약 시 환불 불가 상품 신중하게 선택해야</v>
      </c>
      <c r="E5" s="3" t="str">
        <f>IFERROR(__xludf.DUMMYFUNCTION("""COMPUTED_VALUE"""),"?menukey=4005&amp;mode=view&amp;no=1004481539")</f>
        <v>?menukey=4005&amp;mode=view&amp;no=1004481539</v>
      </c>
      <c r="F5" s="3" t="str">
        <f>IFERROR(__xludf.DUMMYFUNCTION("TEXTJOIN("" "", TRUE, IMPORTXML(""https://www.kca.go.kr/home/sub.do""&amp;E5, ""//*[@id='view_wrap']""))"),"소비자와 함께하는 피해예방주의보 “온라인 숙박 예약 시 환불 불가 상품 신중하게 선택해야” 본격적인 여름 휴가철을 앞두고 한국소비자원(원장 윤수현)이 온라인 숙박 예약 피해예방주의보를 발령했다. 한국소비자원 조사 결과, 
숙박시설 서비스 계약(이하 숙박 계약)관련 소비자 피해 10건 중 7건은 온라인 플랫폼에서 발생했으며, ‘환불 불가 상품’ 관련 분쟁이 
매년 다발하는 것으로 나타났다. ㅁ 숙박 계약 관련 피해 매년 급증, 대부분 온라인 숙박플랫폼에서"&amp;" 발생 최근 3년(’23년~’25년) 간 한국소비자원에 접수된 숙박 계약 관련 피해구제 신청 건수는 총 6,224건으로, 매년 크게 증가하는 
추세다. 특히 지난해에는 전년 대비 38.7% 급증해 2,662건에 달했다. 또한 전체 피해의 약 21%는 여름 휴가 성수기인 
7~8월에 집중된 것으로 나타났다. 숙박 계약 피해는 대부분 온라인 플랫폼에서 발생했다. 숙박 계약 관련 피해구제 사건의 72.8%(4,531건)가 숙박 상품 판매를 
중개하는 온라인 "&amp;"숙박 플랫폼*과 관련된 것으로 확인됐다. * 숙박상품 판매업체에서 제공하는 상품과 서비스 정보를 비교·광고하거나 중개하는 플랫폼 ㅁ 계약 해제·해지 분쟁, ‘환불 불가 상품’ 관련이 가장 많아 신청이유를 분석한 결과, 예약취소 시 과도한 위약금 청구 등 ‘계약해제·해지’ 관련이 65.5%(4,079건)로 가장 많았다. 이어서 
숙박 서비스 품질 불량 등 ‘계약불이행·불완전이행’이 22.0%(1,370건), 인원 추가 요금 등 ‘표시광고 미흡’이 
8.2"&amp;"%(511건)로 나타났다. ‘계약해제·해지’ 관련 분쟁의 44.3%(1,806건)는 ‘환불 불가 상품’ 관련으로, 주로 소비자가 ‘환불 불가’라고 명시된 상품을 
구매한 후 취소 및 환불을 요청했으나, 사업자가 약관을 근거로 거부한 경우였다. 해당 피해는 전체 피해구제 접수 사건 중 매년 40% 
이상 차지하는 것으로 나타났다. ㅁ 환불불가 상품, 약관 고지를 이유로 청약철회 거절하는 경우 많아 「전자상거래 등에서의 소비자보호에 관한 법률」에 따르면 온"&amp;"라인 플랫폼에서 물품 및 서비스를 구매하는 경우, 소비자는 계약 체결일로부터 
7일 이내에 청약을 철회할 수 있다. 하지만 대부분의 온라인 플랫폼 사업자는 환불불가 약관을 고지했다는 이유로 청약철회를 거절하는 
경우가 많아, 계약 시 신중하게 선택해야 한다. 한국소비자원은 소비자들에게 숙박시설 이용계약 체결 시 ▲사업자가 게시한 환불 조항의 세부 내용을 확인할 것, ▲이용 일정, 인원, 
숙박시설 정보 등을 정확히 확인할 것, ▲분쟁에 대비해 예약 확정"&amp;"서 또는 예약 내역을 보관할 것을 당부했다. 한국소비자원은 꾸준히 증가하는 숙박시설 이용 분쟁을 예방하기 위해 주요 온라인 숙박플랫폼 사업자에게 ▲‘소비자가 숙박 이용일이 도래하지 
않은 상품을 계약 체결일로부터 7일 이내에 청약 철회할 경우, 관련 법률에 따라 예약 취소 및 환불할 것’과 ▲‘약관 및 시설 이용 
관련 고지를 강화할 것’을 권고할 계획이다. 자세한 사항은 첨부 파일을 참조하시기 바랍니다. 피해발생 문의처  1372소비자상담센터 http"&amp;"://www.ccn.go.kr : 국번없이 1372 한국소비자원 http://www.kca.go.kr ")</f>
        <v>소비자와 함께하는 피해예방주의보 “온라인 숙박 예약 시 환불 불가 상품 신중하게 선택해야” 본격적인 여름 휴가철을 앞두고 한국소비자원(원장 윤수현)이 온라인 숙박 예약 피해예방주의보를 발령했다. 한국소비자원 조사 결과, 
숙박시설 서비스 계약(이하 숙박 계약)관련 소비자 피해 10건 중 7건은 온라인 플랫폼에서 발생했으며, ‘환불 불가 상품’ 관련 분쟁이 
매년 다발하는 것으로 나타났다. ㅁ 숙박 계약 관련 피해 매년 급증, 대부분 온라인 숙박플랫폼에서 발생 최근 3년(’23년~’25년) 간 한국소비자원에 접수된 숙박 계약 관련 피해구제 신청 건수는 총 6,224건으로, 매년 크게 증가하는 
추세다. 특히 지난해에는 전년 대비 38.7% 급증해 2,662건에 달했다. 또한 전체 피해의 약 21%는 여름 휴가 성수기인 
7~8월에 집중된 것으로 나타났다. 숙박 계약 피해는 대부분 온라인 플랫폼에서 발생했다. 숙박 계약 관련 피해구제 사건의 72.8%(4,531건)가 숙박 상품 판매를 
중개하는 온라인 숙박 플랫폼*과 관련된 것으로 확인됐다. * 숙박상품 판매업체에서 제공하는 상품과 서비스 정보를 비교·광고하거나 중개하는 플랫폼 ㅁ 계약 해제·해지 분쟁, ‘환불 불가 상품’ 관련이 가장 많아 신청이유를 분석한 결과, 예약취소 시 과도한 위약금 청구 등 ‘계약해제·해지’ 관련이 65.5%(4,079건)로 가장 많았다. 이어서 
숙박 서비스 품질 불량 등 ‘계약불이행·불완전이행’이 22.0%(1,370건), 인원 추가 요금 등 ‘표시광고 미흡’이 
8.2%(511건)로 나타났다. ‘계약해제·해지’ 관련 분쟁의 44.3%(1,806건)는 ‘환불 불가 상품’ 관련으로, 주로 소비자가 ‘환불 불가’라고 명시된 상품을 
구매한 후 취소 및 환불을 요청했으나, 사업자가 약관을 근거로 거부한 경우였다. 해당 피해는 전체 피해구제 접수 사건 중 매년 40% 
이상 차지하는 것으로 나타났다. ㅁ 환불불가 상품, 약관 고지를 이유로 청약철회 거절하는 경우 많아 「전자상거래 등에서의 소비자보호에 관한 법률」에 따르면 온라인 플랫폼에서 물품 및 서비스를 구매하는 경우, 소비자는 계약 체결일로부터 
7일 이내에 청약을 철회할 수 있다. 하지만 대부분의 온라인 플랫폼 사업자는 환불불가 약관을 고지했다는 이유로 청약철회를 거절하는 
경우가 많아, 계약 시 신중하게 선택해야 한다. 한국소비자원은 소비자들에게 숙박시설 이용계약 체결 시 ▲사업자가 게시한 환불 조항의 세부 내용을 확인할 것, ▲이용 일정, 인원, 
숙박시설 정보 등을 정확히 확인할 것, ▲분쟁에 대비해 예약 확정서 또는 예약 내역을 보관할 것을 당부했다. 한국소비자원은 꾸준히 증가하는 숙박시설 이용 분쟁을 예방하기 위해 주요 온라인 숙박플랫폼 사업자에게 ▲‘소비자가 숙박 이용일이 도래하지 
않은 상품을 계약 체결일로부터 7일 이내에 청약 철회할 경우, 관련 법률에 따라 예약 취소 및 환불할 것’과 ▲‘약관 및 시설 이용 
관련 고지를 강화할 것’을 권고할 계획이다. 자세한 사항은 첨부 파일을 참조하시기 바랍니다. 피해발생 문의처  1372소비자상담센터 http://www.ccn.go.kr : 국번없이 1372 한국소비자원 http://www.kca.go.kr </v>
      </c>
    </row>
    <row r="6">
      <c r="D6" s="3" t="str">
        <f>IFERROR(__xludf.DUMMYFUNCTION("""COMPUTED_VALUE"""),"온라인 구매 가구, 배송·반품 관련 분쟁 많아 주의 필요")</f>
        <v>온라인 구매 가구, 배송·반품 관련 분쟁 많아 주의 필요</v>
      </c>
      <c r="E6" s="3" t="str">
        <f>IFERROR(__xludf.DUMMYFUNCTION("""COMPUTED_VALUE"""),"?menukey=4005&amp;mode=view&amp;no=1004481329")</f>
        <v>?menukey=4005&amp;mode=view&amp;no=1004481329</v>
      </c>
      <c r="F6" s="3" t="str">
        <f>IFERROR(__xludf.DUMMYFUNCTION("TEXTJOIN("" "", TRUE, IMPORTXML(""https://www.kca.go.kr/home/sub.do""&amp;E6, ""//*[@id='view_wrap']""))"),"소비자와 함께하는 피해예방주의보 “온라인 구매 가구, 배송·반품 관련 분쟁 많아 주의 필요” 저렴한 가격과 제품 비교의 편의성으로 온라인에서 가구를 구매*하는 소비자가 늘면서 배송 및 반품과 관련된 분쟁도 끊이지 않고 있다. * 가구 온라인쇼핑 거래액(국가데이터처): (’22년) 5조 1,976억원→(’23년) 5조 3,364억원→(’24년) 5조 
6,670억원→(’25년) 5조 7,200억원 이에 한국소비자원(원장 윤수현)은 주요 가구 판매 업체 6"&amp;"개사* 자사몰의 배송·반품 관련 표시광고 실태를 조사했다. 그 결과, 배송 
절차와 반품비 표시가 미흡했고 광범위한 사업자 면책, 청약철회 제한 등 소비자에게 불합리한 거래 조건을 제시하고 있어 개선이 필요한 
것으로 드러났다. * 자사몰을 운영 중인 최근 5년간 피해구제 신청 건수 상위 6개사 ‘배송 지연 및 미배송’ 피해가 26.4%로 가장 많아 최근 5년간(’21~’25년) 한국소비자원에 접수된 온라인 구매 가구 배송 관련 피해구제 신청은 총 1,"&amp;"052건*으로 연평균 200건 
이상 접수되고 있다. * 연도별 현황: (’21년) 221건→(’22년) 199건→(’23년)186건→(’24년) 207건→(’25년) 239건 지난해 접수된 239건을 피해 유형별로 분석한 결과, ‘배송 지연 및 미배송*’이 26.4%(63건)로 가장 많았고, ‘과다한 위약금 
및 반품비 청구’가 22.2%(53건), ‘배송 중 파손’이 20.1%(48건) 등으로 뒤를 이었다 * 해외 주문제작 등을 이유로 판매 당시부터"&amp;" 배송에 수개월이 소요됨을 고지한 후 예정된 배송일보다 지연 및 미배송 등의 피해 판매 페이지 내 배송 절차 및 반품비 관련 정보제공 미흡 「전자상거래법」에 따르면 온라인 가구 판매 업체는 소비자가 가구 배송 절차를 확인할 수 있도록 해야 하나, 조사 대상 6개사 중 
5개사는 관련 정보를 표시하지 않거나 전산에 노출된 배송 상태가 실제 배송과 무관하다고 안내하는 등 정보제공이 미흡했다. 「전자상거래법 시행령」에 따라 반품 비용 등 소비자가 추가로 부담"&amp;"해야 할 사항이 있는 경우 그 내용 및 금액을 고지해야 하나, 2개사만 
금액까지 명확히 표시한 것으로 확인됐다. 나머지 4개사는 단순 변심이나 설치 불가 시 반품 비용이 발생한다는 사실만 표시했을 뿐 
구체적인 금액은 명시하지 않았다. 사업자 책임을 광범위하게 면제하고 소비자 권리행사를 부당하게 제한 조사 대상 6개사 중 3개사에서는 사업자의 책임을 광범위하게 면제하고, 청약철회권 등 소비자의 권리행사를 부당하게 제한하는 약관이 
확인됐다. 특히 2개"&amp;"사에서는 가구 특성상 즉각적인 하자 발견이 어려울 수 있음에도 ‘인수증 서명 후 확인된 하자에 대한 사업자의 책임을 
면제’하거나, ‘배송비 부과에 관한 어떠한 클레임도 유효하지 않다’고 규정하고 있었다. 「전자상거래법」에 따라 소비자의 청약철회권은 보장되며, 이를 이유로 위약금을 청구할 수 없다. 그러나 ‘환불 불가’ 조항에 동의해야만 
가구 구매가 가능하거나 7일 내 반품 가구가 업체에 도착한 경우에만 청약철회를 허용하고, 상품가의 30%를 위약금으"&amp;"로 부과하는 사업자도 
있었다. 한국소비자원은 이번 조사 결과를 바탕으로 온라인 가구 판매 업체에 ▲가구 배송 절차 및 반품비에 대한 정보제공 강화, ▲사업자의 부당한 
면책 조항 개선, ▲청약철회 제한 규정 삭제 등을 권고할 예정이다. 아울러 소비자에게는 ▲가구 구매 전 배송 가능 여부 및 배송비, 반품 요건 등 거래 조건을 꼼꼼히 확인할 것, ▲설치 과정 또는 수령 
후 제품의 하자 여부를 확인하고 이상이 있으면 업체에 즉시 통보할 것 등을 당부했다"&amp;". 자세한 사항은 첨부 파일을 참조하시기 바랍니다. 피해발생 문의처   1372소비자상담센터 http://www.ccn.go.kr : 국번없이 1372 한국소비자원 http://www.kca.go.kr ")</f>
        <v>소비자와 함께하는 피해예방주의보 “온라인 구매 가구, 배송·반품 관련 분쟁 많아 주의 필요” 저렴한 가격과 제품 비교의 편의성으로 온라인에서 가구를 구매*하는 소비자가 늘면서 배송 및 반품과 관련된 분쟁도 끊이지 않고 있다. * 가구 온라인쇼핑 거래액(국가데이터처): (’22년) 5조 1,976억원→(’23년) 5조 3,364억원→(’24년) 5조 
6,670억원→(’25년) 5조 7,200억원 이에 한국소비자원(원장 윤수현)은 주요 가구 판매 업체 6개사* 자사몰의 배송·반품 관련 표시광고 실태를 조사했다. 그 결과, 배송 
절차와 반품비 표시가 미흡했고 광범위한 사업자 면책, 청약철회 제한 등 소비자에게 불합리한 거래 조건을 제시하고 있어 개선이 필요한 
것으로 드러났다. * 자사몰을 운영 중인 최근 5년간 피해구제 신청 건수 상위 6개사 ‘배송 지연 및 미배송’ 피해가 26.4%로 가장 많아 최근 5년간(’21~’25년) 한국소비자원에 접수된 온라인 구매 가구 배송 관련 피해구제 신청은 총 1,052건*으로 연평균 200건 
이상 접수되고 있다. * 연도별 현황: (’21년) 221건→(’22년) 199건→(’23년)186건→(’24년) 207건→(’25년) 239건 지난해 접수된 239건을 피해 유형별로 분석한 결과, ‘배송 지연 및 미배송*’이 26.4%(63건)로 가장 많았고, ‘과다한 위약금 
및 반품비 청구’가 22.2%(53건), ‘배송 중 파손’이 20.1%(48건) 등으로 뒤를 이었다 * 해외 주문제작 등을 이유로 판매 당시부터 배송에 수개월이 소요됨을 고지한 후 예정된 배송일보다 지연 및 미배송 등의 피해 판매 페이지 내 배송 절차 및 반품비 관련 정보제공 미흡 「전자상거래법」에 따르면 온라인 가구 판매 업체는 소비자가 가구 배송 절차를 확인할 수 있도록 해야 하나, 조사 대상 6개사 중 
5개사는 관련 정보를 표시하지 않거나 전산에 노출된 배송 상태가 실제 배송과 무관하다고 안내하는 등 정보제공이 미흡했다. 「전자상거래법 시행령」에 따라 반품 비용 등 소비자가 추가로 부담해야 할 사항이 있는 경우 그 내용 및 금액을 고지해야 하나, 2개사만 
금액까지 명확히 표시한 것으로 확인됐다. 나머지 4개사는 단순 변심이나 설치 불가 시 반품 비용이 발생한다는 사실만 표시했을 뿐 
구체적인 금액은 명시하지 않았다. 사업자 책임을 광범위하게 면제하고 소비자 권리행사를 부당하게 제한 조사 대상 6개사 중 3개사에서는 사업자의 책임을 광범위하게 면제하고, 청약철회권 등 소비자의 권리행사를 부당하게 제한하는 약관이 
확인됐다. 특히 2개사에서는 가구 특성상 즉각적인 하자 발견이 어려울 수 있음에도 ‘인수증 서명 후 확인된 하자에 대한 사업자의 책임을 
면제’하거나, ‘배송비 부과에 관한 어떠한 클레임도 유효하지 않다’고 규정하고 있었다. 「전자상거래법」에 따라 소비자의 청약철회권은 보장되며, 이를 이유로 위약금을 청구할 수 없다. 그러나 ‘환불 불가’ 조항에 동의해야만 
가구 구매가 가능하거나 7일 내 반품 가구가 업체에 도착한 경우에만 청약철회를 허용하고, 상품가의 30%를 위약금으로 부과하는 사업자도 
있었다. 한국소비자원은 이번 조사 결과를 바탕으로 온라인 가구 판매 업체에 ▲가구 배송 절차 및 반품비에 대한 정보제공 강화, ▲사업자의 부당한 
면책 조항 개선, ▲청약철회 제한 규정 삭제 등을 권고할 예정이다. 아울러 소비자에게는 ▲가구 구매 전 배송 가능 여부 및 배송비, 반품 요건 등 거래 조건을 꼼꼼히 확인할 것, ▲설치 과정 또는 수령 
후 제품의 하자 여부를 확인하고 이상이 있으면 업체에 즉시 통보할 것 등을 당부했다. 자세한 사항은 첨부 파일을 참조하시기 바랍니다. 피해발생 문의처   1372소비자상담센터 http://www.ccn.go.kr : 국번없이 1372 한국소비자원 http://www.kca.go.kr </v>
      </c>
    </row>
    <row r="7">
      <c r="D7" s="3" t="str">
        <f>IFERROR(__xludf.DUMMYFUNCTION("""COMPUTED_VALUE"""),"보험금 지급 거절, 주치의 진단·불인정 관련이 67.4%")</f>
        <v>보험금 지급 거절, 주치의 진단·불인정 관련이 67.4%</v>
      </c>
      <c r="E7" s="3" t="str">
        <f>IFERROR(__xludf.DUMMYFUNCTION("""COMPUTED_VALUE"""),"?menukey=4005&amp;mode=view&amp;no=1004477858")</f>
        <v>?menukey=4005&amp;mode=view&amp;no=1004477858</v>
      </c>
      <c r="F7" s="3" t="str">
        <f>IFERROR(__xludf.DUMMYFUNCTION("TEXTJOIN("" "", TRUE, IMPORTXML(""https://www.kca.go.kr/home/sub.do""&amp;E7, ""//*[@id='view_wrap']""))"),"소비자와 함께하는 피해예방주의보 “보험금 지급 거절, 주치의 진단·불인정 관련이 67.4%” - 피해예방주의보 - 한국소비자원(원장 윤수현)에 보험 관련 피해구제 신청*이 매년 지속적으로 접수되고 있다. 보험사가 주치의 진단이나 치료를 인정하지 
않거나 의료자문**을 요구하며 보험금 지급을 거절하는 사례가 많은 것으로 나타나 소비자들의 주의가 요구된다.     * 신청 건수: ’21년 756건 → ’22년 829건 → ’23년 1,067건 → ’24년 "&amp;"978건 → ’25년 930건 ** 의료자문: 환자를 직접 치료한 의사의 의료행위나 진단이 적정한지 제3자(전문의)에게 의견을 구하는 절차. 보험사가 보험금 지급 
여부를 결정하는 과정에서 소비자에게 동의를 구한 후 의뢰하는 방식으로 진행한다. ？ 주치의 진단·치료 불인정하고 의료자문 요구 지난해('25. 1. 1. ~ 12. 31.) 한국소비자원에 접수된 보험 관련 피해구제 신청 930건 중 85.8%(798건)는 
보험사가 보험금 지급을 거절해 발생"&amp;"했다. 보험금 지급을 거절한 이유로 ‘주치의 진단·치료 불인정’이 67.4%(538건)를 차지해 가장 많았고, 다음으로 ‘약관 적용 이견’ 
20.7%(165건), ‘손해액 이견’ 9.0%(72건) 등의 순이었다. 보험사가 주치의 진단이나 치료를 인정하지 않은 538건 중 70.1%(377건)는 소비자가 보험사의 의료자문 요구에 동의하지 않거나 
의료자문 결과를 수용하지 않아 발생한 것으로 나타났다. ？ 종합병원 소속 의사 진단도 인정하지 않는 경우 많"&amp;"아 보험사가 의료자문을 요구하며 보험금 지급을 거절한 377건 중 38.5%(145건)는 환자의 주치의가 의과대학 부속병원을 포함한 
‘종합병원급’에 소속된 의사였다. 이외 ‘병원급’인 경우는 31.3%(118건), ‘의원급’은 30.2%(114건)였다. ？ 지급 거절 보험금 평균 ‘1,618만 원’으로 나타나  보험사가 의료자문을 이유로 지급을 거절한 보험금은 평균 1,618만 원이었고, 금액대로 보면 ‘1,000만 원 이상 3,000만 원 
미만’이"&amp;" 39.1%를 차지해 가장 많았다. 손해·생명보험협회는 의료자문이 보험금 지급 거절의 수단으로 남용되는 것을 방지하기 위해 2021년 8월 「의료자문 내부통제 기준」을 
제정해 운영하고 있다. 하지만 사실상 의료자문 시행 대상에 제한이 없어 개선이 요구된다. 소비자원은 이번 현황 분석을 바탕으로 손해·생명보험협회에 보험사의 불필요한 의료자문 요구로 인한 소비자피해를 방지하기 위해 「의료자문 
내부통제 기준」 개선을 요청할 계획이다. 아울러 소비자들에게는"&amp;" ▲고액의 비급여 치료 시 가입한 보험사의 보험금 심사 기준을 사전에 확인할 것, 보험사가 의료자문을 요구하는 경우 
▲의료자문을 시행하려는 이유와 질의 내용 등에 대한 자세한 설명을 요구할 것, ▲의료자문 결과에 이의가 있는 경우 재감정을 요구할 것 
등을 당부했다. 피해발생 문의처     1372소비자상담센터: 국번없이 1372 한국소비자원 http://www.kca.go.kr  ")</f>
        <v>소비자와 함께하는 피해예방주의보 “보험금 지급 거절, 주치의 진단·불인정 관련이 67.4%” - 피해예방주의보 - 한국소비자원(원장 윤수현)에 보험 관련 피해구제 신청*이 매년 지속적으로 접수되고 있다. 보험사가 주치의 진단이나 치료를 인정하지 
않거나 의료자문**을 요구하며 보험금 지급을 거절하는 사례가 많은 것으로 나타나 소비자들의 주의가 요구된다.     * 신청 건수: ’21년 756건 → ’22년 829건 → ’23년 1,067건 → ’24년 978건 → ’25년 930건 ** 의료자문: 환자를 직접 치료한 의사의 의료행위나 진단이 적정한지 제3자(전문의)에게 의견을 구하는 절차. 보험사가 보험금 지급 
여부를 결정하는 과정에서 소비자에게 동의를 구한 후 의뢰하는 방식으로 진행한다. ？ 주치의 진단·치료 불인정하고 의료자문 요구 지난해('25. 1. 1. ~ 12. 31.) 한국소비자원에 접수된 보험 관련 피해구제 신청 930건 중 85.8%(798건)는 
보험사가 보험금 지급을 거절해 발생했다. 보험금 지급을 거절한 이유로 ‘주치의 진단·치료 불인정’이 67.4%(538건)를 차지해 가장 많았고, 다음으로 ‘약관 적용 이견’ 
20.7%(165건), ‘손해액 이견’ 9.0%(72건) 등의 순이었다. 보험사가 주치의 진단이나 치료를 인정하지 않은 538건 중 70.1%(377건)는 소비자가 보험사의 의료자문 요구에 동의하지 않거나 
의료자문 결과를 수용하지 않아 발생한 것으로 나타났다. ？ 종합병원 소속 의사 진단도 인정하지 않는 경우 많아 보험사가 의료자문을 요구하며 보험금 지급을 거절한 377건 중 38.5%(145건)는 환자의 주치의가 의과대학 부속병원을 포함한 
‘종합병원급’에 소속된 의사였다. 이외 ‘병원급’인 경우는 31.3%(118건), ‘의원급’은 30.2%(114건)였다. ？ 지급 거절 보험금 평균 ‘1,618만 원’으로 나타나  보험사가 의료자문을 이유로 지급을 거절한 보험금은 평균 1,618만 원이었고, 금액대로 보면 ‘1,000만 원 이상 3,000만 원 
미만’이 39.1%를 차지해 가장 많았다. 손해·생명보험협회는 의료자문이 보험금 지급 거절의 수단으로 남용되는 것을 방지하기 위해 2021년 8월 「의료자문 내부통제 기준」을 
제정해 운영하고 있다. 하지만 사실상 의료자문 시행 대상에 제한이 없어 개선이 요구된다. 소비자원은 이번 현황 분석을 바탕으로 손해·생명보험협회에 보험사의 불필요한 의료자문 요구로 인한 소비자피해를 방지하기 위해 「의료자문 
내부통제 기준」 개선을 요청할 계획이다. 아울러 소비자들에게는 ▲고액의 비급여 치료 시 가입한 보험사의 보험금 심사 기준을 사전에 확인할 것, 보험사가 의료자문을 요구하는 경우 
▲의료자문을 시행하려는 이유와 질의 내용 등에 대한 자세한 설명을 요구할 것, ▲의료자문 결과에 이의가 있는 경우 재감정을 요구할 것 
등을 당부했다. 피해발생 문의처     1372소비자상담센터: 국번없이 1372 한국소비자원 http://www.kca.go.kr  </v>
      </c>
    </row>
    <row r="8">
      <c r="D8" s="3" t="str">
        <f>IFERROR(__xludf.DUMMYFUNCTION("""COMPUTED_VALUE"""),"BTS 공연 주간, 부당한 숙박 요금 추가 결제 요구‘주의’")</f>
        <v>BTS 공연 주간, 부당한 숙박 요금 추가 결제 요구‘주의’</v>
      </c>
      <c r="E8" s="3" t="str">
        <f>IFERROR(__xludf.DUMMYFUNCTION("""COMPUTED_VALUE"""),"?menukey=4005&amp;mode=view&amp;no=1004476549")</f>
        <v>?menukey=4005&amp;mode=view&amp;no=1004476549</v>
      </c>
      <c r="F8" s="3" t="str">
        <f>IFERROR(__xludf.DUMMYFUNCTION("TEXTJOIN("" "", TRUE, IMPORTXML(""https://www.kca.go.kr/home/sub.do""&amp;E8, ""//*[@id='view_wrap']""))"),"소비자와 함께하는 피해예방주의보 BTS 공연 주간, 부당한 숙박 요금 추가 결제 요구‘주의’ - 피해예방주의보 -  한국소비자원(원장 윤수현)은 공정거래위원회(위원장 주병기), 부산소비자단체협의회(회장 김향란)와 함께 6월 12일(금)과 13일(토)에 
열리는 방탄소년단(BTS) 공연*에 대비해 ‘바가지 숙박 요금 소비자 피해예방주의보’를 발령했다. * 방탄소년단(BTS) 월드투어 ‘아리랑 IN 부산’ 예약 확정 소비자에게 ‘숙박 요금 추가지급 요구’ "&amp;"「공중위생관리법 시행규칙」 제7조에 따르면 숙박업자는 게시된 숙박 요금을 준수해야 하므로, 소비자는 예약이 확정된 이후 요구받은 추가 
대금 청구에 따라야 할 의무가 없다. 하지만 부산 해운대구 소재 A 숙박업소는 BTS 공연주간 2박 예약이 확정된 소비자에게 시중 가격보다 낮은 금액으로 예약되었다는 이유로 
입실 전 500,000원 추가 결제를 요구했다. 아울러, B 숙박업소는 2개월 전 예약이 확정된 소비자에게 숙박시설 이용 계약을 임의로 취소하고,"&amp;" 해당 상품을 다른 소비자에게 
판매했다. 또한 C 숙박업소는 예약이 확정된 소비자에게 객실 가격을 착오로 낮게 올렸다고 안내하고 예약 취소를 3차례나 요구했다. 한국소비자원과 공정거래위원회는 숙박시설 이용 소비자가 부당한 피해를 입지 않도록 ▲사업자가 게시한 숙박 요금표 등을 사진 등의 기록으로 
남겨둘 것, ▲숙박 요금표에 기재된 금액보다 높은 금액을 청구하는지 확인할 것, ▲계약대금 지급 후 숙박업소의 추가대금 요구를 수용하지 
말 것, ▲예약 확"&amp;"정서 또는 예약 내역을 철저히 보관할 것 등을 당부했다. 숙박업자가 예약 취소를 요구하거나 동의 없이 계약을 파기하는 등 예약·이용 과정에서 소비자 피해가 발생할 경우, 거래내역·증빙서류 등을 
갖추어 1372 소비자상담센터(국번없이 1372, 발신자부담) 및 1330 관광안내 콜센터, 소비자24를 통해 소비자 상담 및 
피해구제를 신청할 수 있다. 시장 질서 해치는 담합이나 불공정거래행위 모니터링 강화 한국소비자원과 공정거래위원회는 이번 BTS 공연을"&amp;" 계기로 부산을 찾는 국내외 팬들이 소비 활동 과정에서 안심하고 거래할 수 있도록 담합 
등 불공정거래행위 발생 여부를 면밀하게 주시하고 있다고 밝혔다. 특히 사업자들이 가격 정보를 공유하여 가격을 결정하거나, 출혈 경쟁을 피한다는 명분으로 가격 하한액을 설정하는 행위는 공정거래법상 담합 
행위에 해당할 수 있음을 분명히 했다. 또한 부당하게 상품·용역을 끼워팔거나 거래를 강제하는 행위 등도 시장 질서를 교란하고 소비자의 자율적 선택권을 침해하므로, 관"&amp;"련 
모니터링을 강화하고 법 위반 사항이 적발되면 엄중하게 조치할 계획이다. 한국소비자원과 공정거래위원회는 관계기관과 함께 숙박업자의 부당한 행위로 인한 소비자피해 확산을 방지하기 위해 지난 5월 13일 ‘BTS 
공연 주간 숙박업소 합동점검’*을 실시하고 요금표 미게시, 게시 요금 미준수, 소비자 신고 피해사례 등에 대한 점검·계도 활동을 펼친 
바 있다. 또한 5월 29일, 6월 8일과 9일에도 추가 합동 점검**을 펼칠 계획이다. * 부산광역시(관"&amp;"광마이스국, 보건위생과, 특별사법경찰과), 부산광역시 해운대구(환경위생과), 해운대소방서 등 ** 행정안전부, 문화체육관광부, 보건복지부, 국세청 자세한 사항은 첨부 파일을 참조하시기 바랍니다. 피해발생 문의처     1372소비자상담센터 국번없이 1372 한국소비자원 http://www.kca.go.kr ")</f>
        <v>소비자와 함께하는 피해예방주의보 BTS 공연 주간, 부당한 숙박 요금 추가 결제 요구‘주의’ - 피해예방주의보 -  한국소비자원(원장 윤수현)은 공정거래위원회(위원장 주병기), 부산소비자단체협의회(회장 김향란)와 함께 6월 12일(금)과 13일(토)에 
열리는 방탄소년단(BTS) 공연*에 대비해 ‘바가지 숙박 요금 소비자 피해예방주의보’를 발령했다. * 방탄소년단(BTS) 월드투어 ‘아리랑 IN 부산’ 예약 확정 소비자에게 ‘숙박 요금 추가지급 요구’ 「공중위생관리법 시행규칙」 제7조에 따르면 숙박업자는 게시된 숙박 요금을 준수해야 하므로, 소비자는 예약이 확정된 이후 요구받은 추가 
대금 청구에 따라야 할 의무가 없다. 하지만 부산 해운대구 소재 A 숙박업소는 BTS 공연주간 2박 예약이 확정된 소비자에게 시중 가격보다 낮은 금액으로 예약되었다는 이유로 
입실 전 500,000원 추가 결제를 요구했다. 아울러, B 숙박업소는 2개월 전 예약이 확정된 소비자에게 숙박시설 이용 계약을 임의로 취소하고, 해당 상품을 다른 소비자에게 
판매했다. 또한 C 숙박업소는 예약이 확정된 소비자에게 객실 가격을 착오로 낮게 올렸다고 안내하고 예약 취소를 3차례나 요구했다. 한국소비자원과 공정거래위원회는 숙박시설 이용 소비자가 부당한 피해를 입지 않도록 ▲사업자가 게시한 숙박 요금표 등을 사진 등의 기록으로 
남겨둘 것, ▲숙박 요금표에 기재된 금액보다 높은 금액을 청구하는지 확인할 것, ▲계약대금 지급 후 숙박업소의 추가대금 요구를 수용하지 
말 것, ▲예약 확정서 또는 예약 내역을 철저히 보관할 것 등을 당부했다. 숙박업자가 예약 취소를 요구하거나 동의 없이 계약을 파기하는 등 예약·이용 과정에서 소비자 피해가 발생할 경우, 거래내역·증빙서류 등을 
갖추어 1372 소비자상담센터(국번없이 1372, 발신자부담) 및 1330 관광안내 콜센터, 소비자24를 통해 소비자 상담 및 
피해구제를 신청할 수 있다. 시장 질서 해치는 담합이나 불공정거래행위 모니터링 강화 한국소비자원과 공정거래위원회는 이번 BTS 공연을 계기로 부산을 찾는 국내외 팬들이 소비 활동 과정에서 안심하고 거래할 수 있도록 담합 
등 불공정거래행위 발생 여부를 면밀하게 주시하고 있다고 밝혔다. 특히 사업자들이 가격 정보를 공유하여 가격을 결정하거나, 출혈 경쟁을 피한다는 명분으로 가격 하한액을 설정하는 행위는 공정거래법상 담합 
행위에 해당할 수 있음을 분명히 했다. 또한 부당하게 상품·용역을 끼워팔거나 거래를 강제하는 행위 등도 시장 질서를 교란하고 소비자의 자율적 선택권을 침해하므로, 관련 
모니터링을 강화하고 법 위반 사항이 적발되면 엄중하게 조치할 계획이다. 한국소비자원과 공정거래위원회는 관계기관과 함께 숙박업자의 부당한 행위로 인한 소비자피해 확산을 방지하기 위해 지난 5월 13일 ‘BTS 
공연 주간 숙박업소 합동점검’*을 실시하고 요금표 미게시, 게시 요금 미준수, 소비자 신고 피해사례 등에 대한 점검·계도 활동을 펼친 
바 있다. 또한 5월 29일, 6월 8일과 9일에도 추가 합동 점검**을 펼칠 계획이다. * 부산광역시(관광마이스국, 보건위생과, 특별사법경찰과), 부산광역시 해운대구(환경위생과), 해운대소방서 등 ** 행정안전부, 문화체육관광부, 보건복지부, 국세청 자세한 사항은 첨부 파일을 참조하시기 바랍니다. 피해발생 문의처     1372소비자상담센터 국번없이 1372 한국소비자원 http://www.kca.go.kr </v>
      </c>
    </row>
    <row r="9">
      <c r="D9" s="3" t="str">
        <f>IFERROR(__xludf.DUMMYFUNCTION("""COMPUTED_VALUE"""),"중고폰 판매 '그린테크라이프', 미배송·환급 지연 주의")</f>
        <v>중고폰 판매 '그린테크라이프', 미배송·환급 지연 주의</v>
      </c>
      <c r="E9" s="3" t="str">
        <f>IFERROR(__xludf.DUMMYFUNCTION("""COMPUTED_VALUE"""),"?menukey=4005&amp;mode=view&amp;no=1004473077")</f>
        <v>?menukey=4005&amp;mode=view&amp;no=1004473077</v>
      </c>
      <c r="F9" s="3" t="str">
        <f>IFERROR(__xludf.DUMMYFUNCTION("TEXTJOIN("" "", TRUE, IMPORTXML(""https://www.kca.go.kr/home/sub.do""&amp;E9, ""//*[@id='view_wrap']""))"),"소비자와 함께하는 피해예방주의보 ‘중고폰 판매 ‘그린테크라이프’, 미배송·환급 지연 주의 - 피해예방주의보 - 한국소비자원(원장 윤수현)은 중고 휴대폰을 판매하는 온라인 쇼핑몰 ‘그린테크라이프(https://green-techlife.com)’를 이용한 소비자들의 스마트폰 미배송 및 청약철회 관련 피해가 단기간 내에 급격히 증가하고 있다며 주의를 당부했다. 올해 1월부터 5월 중순까지 1372소비자상담센터*에 접수된 ‘그린테크라이프’ 관련 상담은 총 2"&amp;"18건으로 1 ~ 3월까지는 8건에 
불과했으나 4월 107건, 5월(20일 기준) 103건으로 급증하고 있다. * 공정거래위원회가 운영하고 한국소비자단체협의회, 한국소비자원, 광역지자체가 참여하여 상담을 수행하는 전국 단위 소비자상담 통합 
콜센터(발신자부담) 소비자상담 내용을 살펴보면, 해당 쇼핑몰에서 중고 스마트폰을 구입하고 배송 지연 혹은 제품 불량으로 환급을 요청했으나 환급을 지연하는 
사례가 86.7%(189건)로 대부분이었다. 한국소비자원은"&amp;" 중고 휴대폰을 구입하고자 하는 소비자들에게 ▲‘그린테크라이프’ 쇼핑몰 이용 시 피해 사례가 많으므로 주의할 것, ▲제품 
구입(결제) 전에 사업자 정보를 확인하여 믿을 만한 판매자인지 확인할 것, ▲가급적 현금보다 신용카드를 사용하여 결제할 것, ▲제품 
품질 및 색상 등 상세정보를 자세히 확인할 것을 당부했다. 자세한 사항은 첨부 파일을 참조하시기 바랍니다. 피해발생 문의처  1372소비자상담센터 http://www.ccn.go.kr : 국번없이 1"&amp;"372 한국소비자원 http://www.kca.go.kr ")</f>
        <v>소비자와 함께하는 피해예방주의보 ‘중고폰 판매 ‘그린테크라이프’, 미배송·환급 지연 주의 - 피해예방주의보 - 한국소비자원(원장 윤수현)은 중고 휴대폰을 판매하는 온라인 쇼핑몰 ‘그린테크라이프(https://green-techlife.com)’를 이용한 소비자들의 스마트폰 미배송 및 청약철회 관련 피해가 단기간 내에 급격히 증가하고 있다며 주의를 당부했다. 올해 1월부터 5월 중순까지 1372소비자상담센터*에 접수된 ‘그린테크라이프’ 관련 상담은 총 218건으로 1 ~ 3월까지는 8건에 
불과했으나 4월 107건, 5월(20일 기준) 103건으로 급증하고 있다. * 공정거래위원회가 운영하고 한국소비자단체협의회, 한국소비자원, 광역지자체가 참여하여 상담을 수행하는 전국 단위 소비자상담 통합 
콜센터(발신자부담) 소비자상담 내용을 살펴보면, 해당 쇼핑몰에서 중고 스마트폰을 구입하고 배송 지연 혹은 제품 불량으로 환급을 요청했으나 환급을 지연하는 
사례가 86.7%(189건)로 대부분이었다. 한국소비자원은 중고 휴대폰을 구입하고자 하는 소비자들에게 ▲‘그린테크라이프’ 쇼핑몰 이용 시 피해 사례가 많으므로 주의할 것, ▲제품 
구입(결제) 전에 사업자 정보를 확인하여 믿을 만한 판매자인지 확인할 것, ▲가급적 현금보다 신용카드를 사용하여 결제할 것, ▲제품 
품질 및 색상 등 상세정보를 자세히 확인할 것을 당부했다. 자세한 사항은 첨부 파일을 참조하시기 바랍니다. 피해발생 문의처  1372소비자상담센터 http://www.ccn.go.kr : 국번없이 1372 한국소비자원 http://www.kca.go.kr </v>
      </c>
    </row>
    <row r="10">
      <c r="D10" s="3" t="str">
        <f>IFERROR(__xludf.DUMMYFUNCTION("""COMPUTED_VALUE"""),"결혼준비, 먼저 꼼꼼히 따져보세요")</f>
        <v>결혼준비, 먼저 꼼꼼히 따져보세요</v>
      </c>
      <c r="E10" s="3" t="str">
        <f>IFERROR(__xludf.DUMMYFUNCTION("""COMPUTED_VALUE"""),"?menukey=4005&amp;mode=view&amp;no=1004458582")</f>
        <v>?menukey=4005&amp;mode=view&amp;no=1004458582</v>
      </c>
      <c r="F10" s="3" t="str">
        <f>IFERROR(__xludf.DUMMYFUNCTION("TEXTJOIN("" "", TRUE, IMPORTXML(""https://www.kca.go.kr/home/sub.do""&amp;E10, ""//*[@id='view_wrap']""))"),"소비자와 함께하는 피해예방주의보 ‘결혼준비, 먼저 꼼꼼히 따져보세요’ - 결혼 성수기 대비 ‘소비자 피해예방주의보’ 발령 - 한국소비자원(원장 윤수현, 이하 ‘소비자원’)과 공정거래위원회(위원장 주병기, 이하 ‘공정위’), 저출산고령사회위원회(부위원장 김진오, 이하 ‘저고위’)는 예식 수요가 집중되는 봄철 결혼 성수기를 맞아 예비부부들의 소비자피해 예방 및 합리적인 거래를 
지원하기 위해 ‘결혼서비스 소비자 피해예방주의보’를 발령하고 주의를 당부했다. "&amp;"결혼서비스 소비자피해 18.9% 증가, 대부분 ‘계약해지’ 관련 소비자원에 따르면, 결혼서비스 관련 소비자 피해구제 신청 건수는 2024년 905건에서 2025년 1,076건으로 18.9% 증가했으며, 특히 4 ~ 5월에는 전년 동기 대비 56.0%나 늘어난 것으로 나타났다. 접수된 피해 대부분(88.1%)은 ‘계약해지·위약금 및 청약철회’와 관련된 분쟁이었다. 합리적인 결혼서비스 계약을 위한 3대 핵심 유의사항 주요 분쟁은 소비자가 세부 가격이나 추가"&amp;" 비용, 위약금 기준 등의 정보를 사전에 충분히 안내받지 못한 상태에서 이른바 ‘깜깜이 계약’을 
체결하면서 발생하는 것으로 분석된다. 이에 소비자원과 공정위는 예비부부들이 부당한 피해 없이 결혼을 준비할 수 있도록 다음 사항에 
유의할 것을 당부했다. 결혼서비스업체와 상담 전, 소비자원 ‘참가격' 누리집(www.price.go.kr)을 방문해 예산에 맞는 가격을 미리 점검하는 것이 좋다. 참가격 결혼서비스에 식대, 대관료, 스드메 패키지 등 주요 결혼"&amp;"서비스 품목에 
대한 지역별 가격정보와 67개에 달하는 선택품목 가격정보가 공개돼 있다. 또한 맞춤형 비교 견적 서비스를 사전에 활용하면 보다 합리적인 
선택을 할 수 있다. 업체를 선정할 때는 스·드·메(스튜디오·드레스·메이크업) 서비스별 기본 가격과 위약금 부과 기준을 명확히 고지하는 ‘결혼준비대행업 
표준약관’(’25년 4월 시행) 사용업체를 우선적으로 살펴보는 것이 좋다. 표준약관 사용업체는 공정거래위원회 표준약관 표지를 사용하므로 
이를 통해 "&amp;"구별할 수 있다. 아울러 사진파일 구입비, 드레스 피팅비 등 필수 서비스를 부당하게 별도 비용으로 청구하거나 과도한 위약금을 
부과하는 불공정한 약관 조항이 없는지 살펴보아야 한다. ‘3년 연속 국내 1위’, ‘최다 제휴 업체 보유’, ‘최저가 보장’ 등 객관적인 근거 없이 소비자를 오인하게 하는 광고에 유의하고, 
다양한 업체의 정보를 충분히 비교한 후 결정하여야 한다. 5 ~ 6월 ‘결혼서비스 피해 집중 신고기간’ 운영 공정위는 결혼서비스 사업자에 "&amp;"대해 요금 체계 및 환급 기준 등을 의무적으로 표시하도록 한 ‘결혼서비스 가격표시제’(중요정보고시*, 
’25년 11월) 시행에 따라 서비스 세부 내용 및 가격표시가 현장에서 원활히 이행되고 있는지 집중적으로 점검하여 제도가 원활하게 
정착될 수 있도록 할 계획이다. 상기 중요정보고시를 미준수한 결혼서비스 사업자에 대해서는 최대 1억 원 이하의 과태료를 부과할 수 있다. * 예식장업 또는 결혼준비대행업을 운영하는 사업자는 기본서비스와 선택품목의 항목별 "&amp;"세부 내용 및 요금, 계약해지에 따른 위약금 및 
환급기준 등 중요정보 사항을 사업자 누리집(홈페이지) 또는 한국소비자원 참가격(www.price.go.kr) 중 한 곳과 계약서 표지에 표시하여야 함. 소비자원은 오는 5 ~ 6월을 ‘결혼서비스 피해 집중 신고기간’으로 하고, 결혼서비스 이용 과정에서 피해가 발생한 경우, 
1372소비자상담센터(국번 없이 1372, 발신자 부담) 또는 소비자 24(www.consumer.go.kr 내 ‘상담/피해구제신청"&amp;"’)를 통해 적극적으로 상담 및 피해구제를 신청할 것을 당부했다. 저고위 김진오 부위원장은 “결혼은 인생의 가장 큰 축복인 만큼, 청년들이 결혼에 드는 비용걱정을 줄이고 안정적으로 미래를 설계할 수 
있도록 하는 것이 중요하다.”면서, “앞으로도 결혼서비스 시장의 투명성과 공정성을 높이고, 결혼과 가족형성을 희망적으로 바라볼 수 있는 
사회 분위기 조성을 위해 노력하겠다.”고 밝혔다. 정부는 앞으로도 결혼서비스 시장의 부당한 거래 관행을 지속적으로 점검"&amp;"하여 소비자피해를 사전에 예방하고, 결혼서비스 정보제공을 통해 
합리적 선택을 지원하여 투명하고 공정한 거래질서가 정착되도록 노력할 계획이다. 자세한 사항은 첨부 파일을 참조하시기 바랍니다. 피해발생 문의처    1372소비자상담센터 www.ccn.go.kr : 국번없이 1372 한국소비자원 http://www.kca.go.kr ")</f>
        <v>소비자와 함께하는 피해예방주의보 ‘결혼준비, 먼저 꼼꼼히 따져보세요’ - 결혼 성수기 대비 ‘소비자 피해예방주의보’ 발령 - 한국소비자원(원장 윤수현, 이하 ‘소비자원’)과 공정거래위원회(위원장 주병기, 이하 ‘공정위’), 저출산고령사회위원회(부위원장 김진오, 이하 ‘저고위’)는 예식 수요가 집중되는 봄철 결혼 성수기를 맞아 예비부부들의 소비자피해 예방 및 합리적인 거래를 
지원하기 위해 ‘결혼서비스 소비자 피해예방주의보’를 발령하고 주의를 당부했다. 결혼서비스 소비자피해 18.9% 증가, 대부분 ‘계약해지’ 관련 소비자원에 따르면, 결혼서비스 관련 소비자 피해구제 신청 건수는 2024년 905건에서 2025년 1,076건으로 18.9% 증가했으며, 특히 4 ~ 5월에는 전년 동기 대비 56.0%나 늘어난 것으로 나타났다. 접수된 피해 대부분(88.1%)은 ‘계약해지·위약금 및 청약철회’와 관련된 분쟁이었다. 합리적인 결혼서비스 계약을 위한 3대 핵심 유의사항 주요 분쟁은 소비자가 세부 가격이나 추가 비용, 위약금 기준 등의 정보를 사전에 충분히 안내받지 못한 상태에서 이른바 ‘깜깜이 계약’을 
체결하면서 발생하는 것으로 분석된다. 이에 소비자원과 공정위는 예비부부들이 부당한 피해 없이 결혼을 준비할 수 있도록 다음 사항에 
유의할 것을 당부했다. 결혼서비스업체와 상담 전, 소비자원 ‘참가격' 누리집(www.price.go.kr)을 방문해 예산에 맞는 가격을 미리 점검하는 것이 좋다. 참가격 결혼서비스에 식대, 대관료, 스드메 패키지 등 주요 결혼서비스 품목에 
대한 지역별 가격정보와 67개에 달하는 선택품목 가격정보가 공개돼 있다. 또한 맞춤형 비교 견적 서비스를 사전에 활용하면 보다 합리적인 
선택을 할 수 있다. 업체를 선정할 때는 스·드·메(스튜디오·드레스·메이크업) 서비스별 기본 가격과 위약금 부과 기준을 명확히 고지하는 ‘결혼준비대행업 
표준약관’(’25년 4월 시행) 사용업체를 우선적으로 살펴보는 것이 좋다. 표준약관 사용업체는 공정거래위원회 표준약관 표지를 사용하므로 
이를 통해 구별할 수 있다. 아울러 사진파일 구입비, 드레스 피팅비 등 필수 서비스를 부당하게 별도 비용으로 청구하거나 과도한 위약금을 
부과하는 불공정한 약관 조항이 없는지 살펴보아야 한다. ‘3년 연속 국내 1위’, ‘최다 제휴 업체 보유’, ‘최저가 보장’ 등 객관적인 근거 없이 소비자를 오인하게 하는 광고에 유의하고, 
다양한 업체의 정보를 충분히 비교한 후 결정하여야 한다. 5 ~ 6월 ‘결혼서비스 피해 집중 신고기간’ 운영 공정위는 결혼서비스 사업자에 대해 요금 체계 및 환급 기준 등을 의무적으로 표시하도록 한 ‘결혼서비스 가격표시제’(중요정보고시*, 
’25년 11월) 시행에 따라 서비스 세부 내용 및 가격표시가 현장에서 원활히 이행되고 있는지 집중적으로 점검하여 제도가 원활하게 
정착될 수 있도록 할 계획이다. 상기 중요정보고시를 미준수한 결혼서비스 사업자에 대해서는 최대 1억 원 이하의 과태료를 부과할 수 있다. * 예식장업 또는 결혼준비대행업을 운영하는 사업자는 기본서비스와 선택품목의 항목별 세부 내용 및 요금, 계약해지에 따른 위약금 및 
환급기준 등 중요정보 사항을 사업자 누리집(홈페이지) 또는 한국소비자원 참가격(www.price.go.kr) 중 한 곳과 계약서 표지에 표시하여야 함. 소비자원은 오는 5 ~ 6월을 ‘결혼서비스 피해 집중 신고기간’으로 하고, 결혼서비스 이용 과정에서 피해가 발생한 경우, 
1372소비자상담센터(국번 없이 1372, 발신자 부담) 또는 소비자 24(www.consumer.go.kr 내 ‘상담/피해구제신청’)를 통해 적극적으로 상담 및 피해구제를 신청할 것을 당부했다. 저고위 김진오 부위원장은 “결혼은 인생의 가장 큰 축복인 만큼, 청년들이 결혼에 드는 비용걱정을 줄이고 안정적으로 미래를 설계할 수 
있도록 하는 것이 중요하다.”면서, “앞으로도 결혼서비스 시장의 투명성과 공정성을 높이고, 결혼과 가족형성을 희망적으로 바라볼 수 있는 
사회 분위기 조성을 위해 노력하겠다.”고 밝혔다. 정부는 앞으로도 결혼서비스 시장의 부당한 거래 관행을 지속적으로 점검하여 소비자피해를 사전에 예방하고, 결혼서비스 정보제공을 통해 
합리적 선택을 지원하여 투명하고 공정한 거래질서가 정착되도록 노력할 계획이다. 자세한 사항은 첨부 파일을 참조하시기 바랍니다. 피해발생 문의처    1372소비자상담센터 www.ccn.go.kr : 국번없이 1372 한국소비자원 http://www.kca.go.kr </v>
      </c>
    </row>
    <row r="11">
      <c r="D11" s="3" t="str">
        <f>IFERROR(__xludf.DUMMYFUNCTION("""COMPUTED_VALUE"""),"방문 견적 없는 소규모 이사 계약, 추가 비용 요구 등 피해 많아")</f>
        <v>방문 견적 없는 소규모 이사 계약, 추가 비용 요구 등 피해 많아</v>
      </c>
      <c r="E11" s="3" t="str">
        <f>IFERROR(__xludf.DUMMYFUNCTION("""COMPUTED_VALUE"""),"?menukey=4005&amp;mode=view&amp;no=1004458186")</f>
        <v>?menukey=4005&amp;mode=view&amp;no=1004458186</v>
      </c>
      <c r="F11" s="3" t="str">
        <f>IFERROR(__xludf.DUMMYFUNCTION("TEXTJOIN("" "", TRUE, IMPORTXML(""https://www.kca.go.kr/home/sub.do""&amp;E11, ""//*[@id='view_wrap']""))"),"소비자와 함께하는 피해예방주의보 방문 견적 없는 소규모 이사 계약, 추가 비용 요구 등 피해 많아 소규모 이사서비스에서 부실한 계약체결 과정으로 인한 피해가 다발하는 것으로 확인됐다. 특히 1인 가구가 많은 청년층의 피해가 두드러지는 
것으로 나타나 한국소비자원이 봄 이사철을 앞두고 각별한 주의를 당부했다. * 이사(포장·반포장·일반) 품목 피해구제 신청 건수 : ’23년 603건 → ’24년 785건 → ’25년 961건 □소규모 이사 피해구제 신청 "&amp;"20~30대 청년층이 65.1% 한국소비자원(원장 윤수현)이 2025년 접수된 이사서비스 피해구제 961건 중 소규모 이사에 해당하는 계약 241건*을 분석한 결과, 
20~30대의 피해가 65.1%(157건)로 가장 많았다. 특히 20대는 22.8%(55건)로, 전체 이사서비스 이용자의 20대 
비율(11.6%) 대비 2배 가까이 높았다. 이는 1인 가구가 많은 청년층의 주거 특성상 소규모 이사 서비스 이용률이 높기 때문인 
것으로 분석된다. * 총 "&amp;"계약대금(이사 비용)이 100만원 이하인 사건(10만원 미만은 단순 물품 배송이 많아 제외) 방문 견적 없는 비대면 계약 체결 많아 피해에 더욱 취약 소규모 이사 관련 피해는 ‘물품 파손 및 분실’이 47.7%(134건)로 가장 많았고, ‘추가 비용 요구’ 24.9%(70건), 
‘이사서비스 이행 거부 또는 계약불이행’ 13.9%(39건), ‘계약 취소？변경 시 과도한 위약금’ 9.6%(27건) 순으로 확인됐다. 물품 파손의 경우 이사 과정에서 직원의 "&amp;"부주의 등으로 전자제품, 가구 같은 주요 물품이 파손되었음에도 이사업체가 책임을 인정하지 않거나 
원상회복 비용을 배상하지 않는 경우가 많았다. 이사비용이 크지 않다 보니, 이사업체가 잔금을 포기하고 손해배상 책임을 회피하는 사례도 
확인됐다. 추가 비용 관련 피해는 이사 당일에 이삿짐의 양이나 건물 구조 등을 이유로 화물차, 인력, 사다리차 등을 추가로 사용해야 한다며 
갑작스레 비용을 요구하는 경우가 대부분이었다. 이때 소비자가 추가 비용 지급을 거"&amp;"부하거나 감액을 요구하면 이사업체가 이사 계약의 이행을 
거부하는 ‘계약불이행’ 피해로 이어지는 사례도 많았다. 소비자는 정해진 날짜에 이사를 완료하지 못하면 여러 가지 곤란한 상황이 발생하므로 추가 비용 요구를 거부하기 어렵다. 소규모 
이사서비스는 방문 견적 없이 구두 설명이나 온라인 홈페이지에 입력한 이삿짐 현황을 토대로 비대면 계약을 체결하는 경우가 많아 소비자들이 
이 같은 분쟁에 더욱 취약한 것으로 나타났다. 한국소비자원은 소비자들에게 ▲이사"&amp;"업체를 선정하기 전 허가 여부를 미리 확인할 것* ▲계약 체결 전 정확한 견적을 통해 차량, 인력 등 
계약 조건을 꼼꼼히 확인할 것 ▲파손 우려가 있는 물품은 이사 전에 사진을 촬영하고 이사 후에는 현장에서 점검할 것 등 피해 예방을 
위한 주의사항을 당부했다. 아울러 “신학기·입사 등으로 청년층 이사 수요가 많은 봄철에는 소규모 이사 관련 피해가 증가할 수 있어 청년 소비자들은 더욱 유의해야 
한다”고 덧붙였다. * 허가업체는 전국화물자동차운송주선사"&amp;"업연합회에서 운영하는 웹사이트(www.허가이사.org) 또는 해당업체 소재지 관할관청을 통해 확인 가능 자세한 사항은 첨부 파일을 참조하시기 바랍니다. 피해발생 문의처  1372소비자상담센터 www.ccn.go.kr : 국번없이 1372 한국소비자원 www.kca.go.kr : ")</f>
        <v>소비자와 함께하는 피해예방주의보 방문 견적 없는 소규모 이사 계약, 추가 비용 요구 등 피해 많아 소규모 이사서비스에서 부실한 계약체결 과정으로 인한 피해가 다발하는 것으로 확인됐다. 특히 1인 가구가 많은 청년층의 피해가 두드러지는 
것으로 나타나 한국소비자원이 봄 이사철을 앞두고 각별한 주의를 당부했다. * 이사(포장·반포장·일반) 품목 피해구제 신청 건수 : ’23년 603건 → ’24년 785건 → ’25년 961건 □소규모 이사 피해구제 신청 20~30대 청년층이 65.1% 한국소비자원(원장 윤수현)이 2025년 접수된 이사서비스 피해구제 961건 중 소규모 이사에 해당하는 계약 241건*을 분석한 결과, 
20~30대의 피해가 65.1%(157건)로 가장 많았다. 특히 20대는 22.8%(55건)로, 전체 이사서비스 이용자의 20대 
비율(11.6%) 대비 2배 가까이 높았다. 이는 1인 가구가 많은 청년층의 주거 특성상 소규모 이사 서비스 이용률이 높기 때문인 
것으로 분석된다. * 총 계약대금(이사 비용)이 100만원 이하인 사건(10만원 미만은 단순 물품 배송이 많아 제외) 방문 견적 없는 비대면 계약 체결 많아 피해에 더욱 취약 소규모 이사 관련 피해는 ‘물품 파손 및 분실’이 47.7%(134건)로 가장 많았고, ‘추가 비용 요구’ 24.9%(70건), 
‘이사서비스 이행 거부 또는 계약불이행’ 13.9%(39건), ‘계약 취소？변경 시 과도한 위약금’ 9.6%(27건) 순으로 확인됐다. 물품 파손의 경우 이사 과정에서 직원의 부주의 등으로 전자제품, 가구 같은 주요 물품이 파손되었음에도 이사업체가 책임을 인정하지 않거나 
원상회복 비용을 배상하지 않는 경우가 많았다. 이사비용이 크지 않다 보니, 이사업체가 잔금을 포기하고 손해배상 책임을 회피하는 사례도 
확인됐다. 추가 비용 관련 피해는 이사 당일에 이삿짐의 양이나 건물 구조 등을 이유로 화물차, 인력, 사다리차 등을 추가로 사용해야 한다며 
갑작스레 비용을 요구하는 경우가 대부분이었다. 이때 소비자가 추가 비용 지급을 거부하거나 감액을 요구하면 이사업체가 이사 계약의 이행을 
거부하는 ‘계약불이행’ 피해로 이어지는 사례도 많았다. 소비자는 정해진 날짜에 이사를 완료하지 못하면 여러 가지 곤란한 상황이 발생하므로 추가 비용 요구를 거부하기 어렵다. 소규모 
이사서비스는 방문 견적 없이 구두 설명이나 온라인 홈페이지에 입력한 이삿짐 현황을 토대로 비대면 계약을 체결하는 경우가 많아 소비자들이 
이 같은 분쟁에 더욱 취약한 것으로 나타났다. 한국소비자원은 소비자들에게 ▲이사업체를 선정하기 전 허가 여부를 미리 확인할 것* ▲계약 체결 전 정확한 견적을 통해 차량, 인력 등 
계약 조건을 꼼꼼히 확인할 것 ▲파손 우려가 있는 물품은 이사 전에 사진을 촬영하고 이사 후에는 현장에서 점검할 것 등 피해 예방을 
위한 주의사항을 당부했다. 아울러 “신학기·입사 등으로 청년층 이사 수요가 많은 봄철에는 소규모 이사 관련 피해가 증가할 수 있어 청년 소비자들은 더욱 유의해야 
한다”고 덧붙였다. * 허가업체는 전국화물자동차운송주선사업연합회에서 운영하는 웹사이트(www.허가이사.org) 또는 해당업체 소재지 관할관청을 통해 확인 가능 자세한 사항은 첨부 파일을 참조하시기 바랍니다. 피해발생 문의처  1372소비자상담센터 www.ccn.go.kr : 국번없이 1372 한국소비자원 www.kca.go.kr : </v>
      </c>
    </row>
    <row r="12">
      <c r="D12" s="3" t="str">
        <f>IFERROR(__xludf.DUMMYFUNCTION("""COMPUTED_VALUE"""),"중동 상황 악화에 따른 여행, 항공, 숙박 피해주의보 발령")</f>
        <v>중동 상황 악화에 따른 여행, 항공, 숙박 피해주의보 발령</v>
      </c>
      <c r="E12" s="3" t="str">
        <f>IFERROR(__xludf.DUMMYFUNCTION("""COMPUTED_VALUE"""),"?menukey=4005&amp;mode=view&amp;no=1004014513")</f>
        <v>?menukey=4005&amp;mode=view&amp;no=1004014513</v>
      </c>
      <c r="F12" s="3" t="str">
        <f>IFERROR(__xludf.DUMMYFUNCTION("TEXTJOIN("" "", TRUE, IMPORTXML(""https://www.kca.go.kr/home/sub.do""&amp;E12, ""//*[@id='view_wrap']""))"),"소비자와 함께하는 피해예방주의보 ""중동 상황 악화에 따른 여행, 항공, 숙박 피해주의보 발령"" 한국소비자원(원장 윤수현, 이하 ‘소비자원’)과 공정거래위원회(위원장 주병기, 이하 ‘공정위’)는 최근 무력 충돌로 중동 지역 상황이 
급격히 악화됨에 따라 여행, 항공, 숙박 상품에 대한 소비자 피해주의보를 발령했다.□ 패키지여행, 여행 경보 3단계 이상 아니면 위약금 면제 어려워 공정위 고시 소비자분쟁해결기준에 따르면, 외교부가 발령하는 여행경보가 ‘3"&amp;"단계(출국권고)’ 이상인 지역에 해당할 경우 여행 상품의 
계약금 환급 및 위약금 면제가 가능하다. 다만, 외교부 여행경보가 3단계 미만이거나 단순한 우려만으로 여행자가 먼저 계약을 해제할 경우 
위약금을 부담해야 할 수 있다. 이에 소비자원과 공정위는 특수한 상황임을 고려하여 여행 업계와의 논의를 통해 소비자의 중동 지역 패키지여행 계약해제 시 위약금을 경감 
조치할 수 있도록 노력할 예정이다. 아울러 소비자들에게는 계약해제 전 여행사와 충분한 협의를"&amp;" 거칠 것을 당부했다.□ 항공, 숙박은 예외 규정 없어 각별한 주의필요   소비자가 개별적으로 예약하는 항공권이나 숙박 상품은 패키지여행과 달리 계약해제 시 사업자의 자체 약관이 우선되어 취소 시 수수료를 
물어야 할 위험이 크다. 또한 3단계 미만의 여행경보일 경우 소비자의 단순 우려로 간주되어 손해가 발생할 수 있다. 따라서 계약해제 전 반드시 예약 플랫폼 및 항공사·숙박업체 약관 내 조항을 면밀히 살펴야 하며 영공 폐쇄를 보도한 외신 기사, 해당 "&amp;"
국가의 입국 금지 조치 발표문, 연결편 결항 통보서 등의 자료를 첨부하여 환급을 요청하는 것이 좋다.□ 항공권, 숙박 상품 신규 예매·예약은 보류해야   현재 중동 내 여러 나라의 영공이 전면 폐쇄되거나 일부만 개방되어 있다. 중동 노선 유일 국적 항공사인 대한항공은 인천-두바이 직항 
노선을 2026. 3. 8.까지 비운항 조치했으며 이 경우 소비자는 미사용 항공권에 대해 수수료 없이 전액 환급받을 수 있다. 그러나 외국적 항공사를 이용해 경유하여 "&amp;"중동 지역으로 향하는 항공편은 예매가 가능한 것으로 확인된다. 중동을 최종 목적지로 하거나 
중동을 경유하는 일정의 항공권 예매와 숙박 예약은 잠정적으로 보류하는 것이 안전하다. □ 소비자의 신중한 의사 결정이 필요 소비자원과 공정위는 중동 지역과 관련된 여행, 항공, 숙박 상품의 피해 접수 동향을 상시 모니터링 하고 있으며 피해 사례가 확인될 경우 
유관기관 및 사업자와 적극 협력하여 신속한 조치가 이루어질 수 있도록 할 계획이다. 아울러 소비자들에게"&amp;"는 ▲출발일이 남았다면 불안감에 먼저 취소하기보다 항공사나 여행사의 공지가 있을 때까지 주시할 것, ▲개별 예약한 
항공권·숙박 상품의 경우 객관적 증빙자료를 수집하여 사업자에게 수수료 면제를 요청해 볼 것, ▲신규 예약은 보류하되 부득이 예약할 경우 
향후 발생할 수 있는 분쟁에 대비하여 신용카드 할부(3개월 이상)로 구입해 ‘할부항변권’을 확보하거나 ‘무료 취소’ 조건이 포함된 
상품을 선택할 것 등을 당부했다. 자세한 사항은 첨부 파일을 참조하시기"&amp;" 바랍니다. 피해발생 문의처         1372소비자상담센터 http://www.ccn.go.kr: 국번없이 1372 한국소비자원 
www.kca.go.kr""&gt;http://www.kca.go.kr ")</f>
        <v>소비자와 함께하는 피해예방주의보 "중동 상황 악화에 따른 여행, 항공, 숙박 피해주의보 발령" 한국소비자원(원장 윤수현, 이하 ‘소비자원’)과 공정거래위원회(위원장 주병기, 이하 ‘공정위’)는 최근 무력 충돌로 중동 지역 상황이 
급격히 악화됨에 따라 여행, 항공, 숙박 상품에 대한 소비자 피해주의보를 발령했다.□ 패키지여행, 여행 경보 3단계 이상 아니면 위약금 면제 어려워 공정위 고시 소비자분쟁해결기준에 따르면, 외교부가 발령하는 여행경보가 ‘3단계(출국권고)’ 이상인 지역에 해당할 경우 여행 상품의 
계약금 환급 및 위약금 면제가 가능하다. 다만, 외교부 여행경보가 3단계 미만이거나 단순한 우려만으로 여행자가 먼저 계약을 해제할 경우 
위약금을 부담해야 할 수 있다. 이에 소비자원과 공정위는 특수한 상황임을 고려하여 여행 업계와의 논의를 통해 소비자의 중동 지역 패키지여행 계약해제 시 위약금을 경감 
조치할 수 있도록 노력할 예정이다. 아울러 소비자들에게는 계약해제 전 여행사와 충분한 협의를 거칠 것을 당부했다.□ 항공, 숙박은 예외 규정 없어 각별한 주의필요   소비자가 개별적으로 예약하는 항공권이나 숙박 상품은 패키지여행과 달리 계약해제 시 사업자의 자체 약관이 우선되어 취소 시 수수료를 
물어야 할 위험이 크다. 또한 3단계 미만의 여행경보일 경우 소비자의 단순 우려로 간주되어 손해가 발생할 수 있다. 따라서 계약해제 전 반드시 예약 플랫폼 및 항공사·숙박업체 약관 내 조항을 면밀히 살펴야 하며 영공 폐쇄를 보도한 외신 기사, 해당 
국가의 입국 금지 조치 발표문, 연결편 결항 통보서 등의 자료를 첨부하여 환급을 요청하는 것이 좋다.□ 항공권, 숙박 상품 신규 예매·예약은 보류해야   현재 중동 내 여러 나라의 영공이 전면 폐쇄되거나 일부만 개방되어 있다. 중동 노선 유일 국적 항공사인 대한항공은 인천-두바이 직항 
노선을 2026. 3. 8.까지 비운항 조치했으며 이 경우 소비자는 미사용 항공권에 대해 수수료 없이 전액 환급받을 수 있다. 그러나 외국적 항공사를 이용해 경유하여 중동 지역으로 향하는 항공편은 예매가 가능한 것으로 확인된다. 중동을 최종 목적지로 하거나 
중동을 경유하는 일정의 항공권 예매와 숙박 예약은 잠정적으로 보류하는 것이 안전하다. □ 소비자의 신중한 의사 결정이 필요 소비자원과 공정위는 중동 지역과 관련된 여행, 항공, 숙박 상품의 피해 접수 동향을 상시 모니터링 하고 있으며 피해 사례가 확인될 경우 
유관기관 및 사업자와 적극 협력하여 신속한 조치가 이루어질 수 있도록 할 계획이다. 아울러 소비자들에게는 ▲출발일이 남았다면 불안감에 먼저 취소하기보다 항공사나 여행사의 공지가 있을 때까지 주시할 것, ▲개별 예약한 
항공권·숙박 상품의 경우 객관적 증빙자료를 수집하여 사업자에게 수수료 면제를 요청해 볼 것, ▲신규 예약은 보류하되 부득이 예약할 경우 
향후 발생할 수 있는 분쟁에 대비하여 신용카드 할부(3개월 이상)로 구입해 ‘할부항변권’을 확보하거나 ‘무료 취소’ 조건이 포함된 
상품을 선택할 것 등을 당부했다. 자세한 사항은 첨부 파일을 참조하시기 바랍니다. 피해발생 문의처         1372소비자상담센터 http://www.ccn.go.kr: 국번없이 1372 한국소비자원 
www.kca.go.kr"&gt;http://www.kca.go.kr </v>
      </c>
    </row>
    <row r="13">
      <c r="D13" s="3" t="str">
        <f>IFERROR(__xludf.DUMMYFUNCTION("""COMPUTED_VALUE"""),"고액 온라인 부업 강의, 고수익 보상에 현혹되지 말아야")</f>
        <v>고액 온라인 부업 강의, 고수익 보상에 현혹되지 말아야</v>
      </c>
      <c r="E13" s="3" t="str">
        <f>IFERROR(__xludf.DUMMYFUNCTION("""COMPUTED_VALUE"""),"?menukey=4005&amp;mode=view&amp;no=1004008089")</f>
        <v>?menukey=4005&amp;mode=view&amp;no=1004008089</v>
      </c>
      <c r="F13" s="3" t="str">
        <f>IFERROR(__xludf.DUMMYFUNCTION("TEXTJOIN("" "", TRUE, IMPORTXML(""https://www.kca.go.kr/home/sub.do""&amp;E13, ""//*[@id='view_wrap']""))"),"소비자와 함께하는 피해예방주의보 “고액 온라인 부업 강의, 고수익 보장에 현혹되지 말아야” - 피해예방주의보 - 최근 쇼핑몰이나 SNS(소셜네트워킹 서비스) 고수익 운영 노하우를 제공한다며 소비자를 유인하는 ‘고액 온라인 부업 강의’ 관련 피해가 
증가하고 있다. 이러한 강의들은 부업 알선을 내세우면서 동영상이나 전자책이 제공되는 계약인 것처럼 꾸미거나, 즉각적인 수익창출 방법을 
자문해주는 것처럼 포장해 고액 결제를 유도한다. 한국소비자원(원장 윤수현"&amp;")에 접수된 관련 피해구제 사건은 ’21년부터 ’23년까지는 
연간 3건 이하에 그쳤으나, ’24년부터 급격히 늘고 있어 소비자들의 주의가 필요하다. ※ (최근 5개년 피해구제 신청 현황) ’21년1건→’22년3건→’23년2건→’24년11건→’25년42건 □ ‘강의/코칭 품질’과 ‘계약 불이행’ 불만 많아 최근 5년간(’21년~’25년) 접수된 피해구제 사건 59건을 분석한 결과, 신청 사유로는 ‘강의/코칭 품질’이 40.7%(24건)로 
가장 많았고,"&amp;" ‘계약 불이행’이 28.8%(17건)로 뒤를 이었다. 이 밖에 청약철회 또는 중도해지 시 ‘환급 거부’가 
27.1%(16건), ‘추가 결제 요구’ 3.4%(2건) 순이었다. ‘계약 불이행’의 세부 유형을 살펴본 결과, ▲약속한 수익이 발생하지 않은 경우, ▲강의 자체가 아예 제공되지 않은 경우, ▲강의 외 
수익화에 필수적인 계약 포함사항*이 제공되지 않은 경우, ▲무기한 이용조건이었으나 강의를 삭제한 경우 등이 있었다. * 1:1 코칭, 실습, S"&amp;"NS 계정·채널 제공 등 또한 소비자피해는 전 연령대에 걸쳐 발생하고 있으며, 피해금액은 ‘100만 원 이상 400만원 미만’이 89.8%(53건)로 대부분을 
차지하는 것으로 나타났다. □ 수익화 방법으로 브랜드 홍보 알선과 유튜브 채널 운영 많이 다뤄 강의에서 다루는 수익창출 방법으로는 브랜드 홍보 알선이 29.8%(14건)로 가장 많았고, 유튜브 채널 수익화 23.4%(11건), 
SNS 마케팅 19.1%(9건) 등의 순이었다. 특히 브랜드 홍보 "&amp;"알선의 경우 브랜드 홍보글 작성 대가로 리워드를 적립한 후 이를 현금화하는 방식으로 수익 창출이 가능하다고 소비자들을 
유인해 고액의 온라인 부업 강의 계약을 체결하는 것으로 파악됐다. 하지만 적립되는 리워드가 소액임을 알게 되어 소비자가 중도에 계약 
해지를 요청하더라도 강의자료 선제공(13건)이나 환급불가 조항(5건) 등을 사유로 대부분 환급을 거절하는 것으로 나타났다. 한국소비자원은 급증세를 보이고 있는 고액 온라인 부업 강의 관련 피해가 확산 되"&amp;"지 않도록 피해다발 사업자를 모니터링하고 있으며 관련 
법* 위반 행위 확인 시 관할 지자체에 통보해 시정을 요구하고 있다. *「방문판매 등에 관한 법률」제30조(계속거래업자등의 소비자에 대한 정보제공의무 등), 제31조 (계약의 해지) 및 제32조(계약 해지 또는 해제의 효과와 위약금 
등), 제34조(금지행위) 등  「전자상거래 등에서의 소비자보호에 관한 법률」제17조(청약철회등) 및 제18조(청약철회등의 효과) 등 아울러 소비자들에게 온라인 부업 "&amp;"강의 피해를 예방하기 위해 ▲고액의 강의료결제 전 환급 규정을 반드시 확인할 것, ▲상세 교육과정과 
강사의 전문성을 따져볼 것, ▲강의만 들어도 수익 창출이 가능하다는 사업자의 말에 현혹되지 말 것 등을 당부했다. 자세한 사항은 첨부 파일을 참조하시기 바랍니다. 피해발생 문의처  1372소비자상담센터 http://www.ccn.go.kr : 국번없이 1372 한국소비자원 http://www.kca.go.kr ")</f>
        <v>소비자와 함께하는 피해예방주의보 “고액 온라인 부업 강의, 고수익 보장에 현혹되지 말아야” - 피해예방주의보 - 최근 쇼핑몰이나 SNS(소셜네트워킹 서비스) 고수익 운영 노하우를 제공한다며 소비자를 유인하는 ‘고액 온라인 부업 강의’ 관련 피해가 
증가하고 있다. 이러한 강의들은 부업 알선을 내세우면서 동영상이나 전자책이 제공되는 계약인 것처럼 꾸미거나, 즉각적인 수익창출 방법을 
자문해주는 것처럼 포장해 고액 결제를 유도한다. 한국소비자원(원장 윤수현)에 접수된 관련 피해구제 사건은 ’21년부터 ’23년까지는 
연간 3건 이하에 그쳤으나, ’24년부터 급격히 늘고 있어 소비자들의 주의가 필요하다. ※ (최근 5개년 피해구제 신청 현황) ’21년1건→’22년3건→’23년2건→’24년11건→’25년42건 □ ‘강의/코칭 품질’과 ‘계약 불이행’ 불만 많아 최근 5년간(’21년~’25년) 접수된 피해구제 사건 59건을 분석한 결과, 신청 사유로는 ‘강의/코칭 품질’이 40.7%(24건)로 
가장 많았고, ‘계약 불이행’이 28.8%(17건)로 뒤를 이었다. 이 밖에 청약철회 또는 중도해지 시 ‘환급 거부’가 
27.1%(16건), ‘추가 결제 요구’ 3.4%(2건) 순이었다. ‘계약 불이행’의 세부 유형을 살펴본 결과, ▲약속한 수익이 발생하지 않은 경우, ▲강의 자체가 아예 제공되지 않은 경우, ▲강의 외 
수익화에 필수적인 계약 포함사항*이 제공되지 않은 경우, ▲무기한 이용조건이었으나 강의를 삭제한 경우 등이 있었다. * 1:1 코칭, 실습, SNS 계정·채널 제공 등 또한 소비자피해는 전 연령대에 걸쳐 발생하고 있으며, 피해금액은 ‘100만 원 이상 400만원 미만’이 89.8%(53건)로 대부분을 
차지하는 것으로 나타났다. □ 수익화 방법으로 브랜드 홍보 알선과 유튜브 채널 운영 많이 다뤄 강의에서 다루는 수익창출 방법으로는 브랜드 홍보 알선이 29.8%(14건)로 가장 많았고, 유튜브 채널 수익화 23.4%(11건), 
SNS 마케팅 19.1%(9건) 등의 순이었다. 특히 브랜드 홍보 알선의 경우 브랜드 홍보글 작성 대가로 리워드를 적립한 후 이를 현금화하는 방식으로 수익 창출이 가능하다고 소비자들을 
유인해 고액의 온라인 부업 강의 계약을 체결하는 것으로 파악됐다. 하지만 적립되는 리워드가 소액임을 알게 되어 소비자가 중도에 계약 
해지를 요청하더라도 강의자료 선제공(13건)이나 환급불가 조항(5건) 등을 사유로 대부분 환급을 거절하는 것으로 나타났다. 한국소비자원은 급증세를 보이고 있는 고액 온라인 부업 강의 관련 피해가 확산 되지 않도록 피해다발 사업자를 모니터링하고 있으며 관련 
법* 위반 행위 확인 시 관할 지자체에 통보해 시정을 요구하고 있다. *「방문판매 등에 관한 법률」제30조(계속거래업자등의 소비자에 대한 정보제공의무 등), 제31조 (계약의 해지) 및 제32조(계약 해지 또는 해제의 효과와 위약금 
등), 제34조(금지행위) 등  「전자상거래 등에서의 소비자보호에 관한 법률」제17조(청약철회등) 및 제18조(청약철회등의 효과) 등 아울러 소비자들에게 온라인 부업 강의 피해를 예방하기 위해 ▲고액의 강의료결제 전 환급 규정을 반드시 확인할 것, ▲상세 교육과정과 
강사의 전문성을 따져볼 것, ▲강의만 들어도 수익 창출이 가능하다는 사업자의 말에 현혹되지 말 것 등을 당부했다. 자세한 사항은 첨부 파일을 참조하시기 바랍니다. 피해발생 문의처  1372소비자상담센터 http://www.ccn.go.kr : 국번없이 1372 한국소비자원 http://www.kca.go.kr </v>
      </c>
    </row>
    <row r="14">
      <c r="D14" s="3" t="str">
        <f>IFERROR(__xludf.DUMMYFUNCTION("""COMPUTED_VALUE"""),"돌잔치 서비스 이용시 계약내용 꼼꼼히 확인하세요")</f>
        <v>돌잔치 서비스 이용시 계약내용 꼼꼼히 확인하세요</v>
      </c>
      <c r="E14" s="3" t="str">
        <f>IFERROR(__xludf.DUMMYFUNCTION("""COMPUTED_VALUE"""),"?menukey=4005&amp;mode=view&amp;no=1004004511")</f>
        <v>?menukey=4005&amp;mode=view&amp;no=1004004511</v>
      </c>
      <c r="F14" s="3" t="str">
        <f>IFERROR(__xludf.DUMMYFUNCTION("TEXTJOIN("" "", TRUE, IMPORTXML(""https://www.kca.go.kr/home/sub.do""&amp;E14, ""//*[@id='view_wrap']""))"),"소비자와 함께하는 피해예방주의보 “돌잔치 서비스 이용시 계약내용 꼼꼼히 확인하세요” -한국소비자원·공정거래위원회, 돌잔치 계약 관련 소비자 유의사항 당부- 한국소비자원(원장 윤수현, 이하 ‘소비자원’)과 공정거래위원회(위원장 주병기, 이하 ‘공정위’)는 최근 출생률이 완만히 회복되는 추세 
속에서 첫 생일을 기념하기 위한 돌잔치 서비스 이용과 관련된 소비자피해가 우려됨에 따라 피해예방을 위한 소비자와 사업자 모두의 주의 
노력을 당부하였다. 돌잔치 서비"&amp;"스 이용과 관련하여 최근 3년간(’23~’25년) 소비자원에 접수된 피해구제 신청 건수*는 총 146건으로 최근 증가 추세에 
있다. * 43건(‘23년) → 50건(’24년) → 53건(’25년) 코로나19 발생 이후 감소했던 혼인율과 출생률이 최근 회복*되고 있고, ‘스몰 럭셔리’소비문화 확산에 따라 서비스가 고급화, 세분화되는 
추세까지 감안할 때 앞으로도 돌잔치 서비스와 관련된 분쟁이 지속될 것으로 보인다. * 전국 혼인건수·출생아 수(‘19년～"&amp;"’24년), 국가데이터처 제공 그간 소비자 피해 사례들은 계약체결 이후 불가피한 사정으로 계약을 해제하고자 할 경우 계약금 환불이 제한되는 경우가 대부분이었다. 이에 
소비자들은 계약서를 작성하기 전에 거래내용, 해제·해지 조건 등을 확인하는데 각별한 주의를 기울여야 한다. 아울러 최근에는 돌잔치 장소 예약에 더해 사진촬영, 의상, 메이크업 등(이하 ‘스드메’)의 추가 서비스를 제공하는 경우가 증가하고 
있어, 해당 추가 서비스 선택사항과 거래조건 등에"&amp;" 대한 분쟁 발생 우려도 커지고 있다. 이런 경우 소비자는 기본서비스 외에 추가로 
선택하는 서비스 내용과 비용 부담 등에 대하여 사전에 꼼꼼하게 점검하여 스스로 피해를 예방할 필요가 있다. 또한 사업자가 객관적 근거 없이 “업계 1위”, “역대급 최대 할인” 등의 소비자를 오인시키는 표시·광고를 하는 경우도 있을 수 
있으니, 사업자를 선택함에 있어서 실제 사업자의 규모, 만족도 등을 확인하여 신중하게 결정하는 것도 중요하다. 한편 사업자들은 소비자와"&amp;"의 분쟁을 예방하기 위해 기본서비스 내역 및 요금, 선택서비스 내역 및 요금, 계약해제·해지 조건 및 위약금에 
관한 사항 등을 계약체결 전 소비자에게 구체적으로 제공하고 설명할 필요가 있다. 돌잔치 서비스 계약 이용 과정에서 발생한 소비자피해에 대하여 자율적인 분쟁해결이 어려운 경우, 1372소비자상담센터(전국 단일번호 
1372, 발신자부담), 소비자24(www.consumer.go.kr 내 ‘상담/피해구제신청’)를 통하여 소비자 상담 및 피해구제를"&amp;" 신청할 수 있다. 앞으로도 소비자원은 공정위와 돌잔치 서비스 이용 관련 소비자 불만 및 피해상황을 점검하여 소비자 보호 및 피해예방 노력을 지속할 계획이다. 자세한 사항은 첨부 파일을 참조하시기 바랍니다. 피해발생 문의처  1372소비자상담센터 http://www.ccn.go.kr : 국번없이 1372 한국소비자원 http://www.kca.go.kr ")</f>
        <v>소비자와 함께하는 피해예방주의보 “돌잔치 서비스 이용시 계약내용 꼼꼼히 확인하세요” -한국소비자원·공정거래위원회, 돌잔치 계약 관련 소비자 유의사항 당부- 한국소비자원(원장 윤수현, 이하 ‘소비자원’)과 공정거래위원회(위원장 주병기, 이하 ‘공정위’)는 최근 출생률이 완만히 회복되는 추세 
속에서 첫 생일을 기념하기 위한 돌잔치 서비스 이용과 관련된 소비자피해가 우려됨에 따라 피해예방을 위한 소비자와 사업자 모두의 주의 
노력을 당부하였다. 돌잔치 서비스 이용과 관련하여 최근 3년간(’23~’25년) 소비자원에 접수된 피해구제 신청 건수*는 총 146건으로 최근 증가 추세에 
있다. * 43건(‘23년) → 50건(’24년) → 53건(’25년) 코로나19 발생 이후 감소했던 혼인율과 출생률이 최근 회복*되고 있고, ‘스몰 럭셔리’소비문화 확산에 따라 서비스가 고급화, 세분화되는 
추세까지 감안할 때 앞으로도 돌잔치 서비스와 관련된 분쟁이 지속될 것으로 보인다. * 전국 혼인건수·출생아 수(‘19년～’24년), 국가데이터처 제공 그간 소비자 피해 사례들은 계약체결 이후 불가피한 사정으로 계약을 해제하고자 할 경우 계약금 환불이 제한되는 경우가 대부분이었다. 이에 
소비자들은 계약서를 작성하기 전에 거래내용, 해제·해지 조건 등을 확인하는데 각별한 주의를 기울여야 한다. 아울러 최근에는 돌잔치 장소 예약에 더해 사진촬영, 의상, 메이크업 등(이하 ‘스드메’)의 추가 서비스를 제공하는 경우가 증가하고 
있어, 해당 추가 서비스 선택사항과 거래조건 등에 대한 분쟁 발생 우려도 커지고 있다. 이런 경우 소비자는 기본서비스 외에 추가로 
선택하는 서비스 내용과 비용 부담 등에 대하여 사전에 꼼꼼하게 점검하여 스스로 피해를 예방할 필요가 있다. 또한 사업자가 객관적 근거 없이 “업계 1위”, “역대급 최대 할인” 등의 소비자를 오인시키는 표시·광고를 하는 경우도 있을 수 
있으니, 사업자를 선택함에 있어서 실제 사업자의 규모, 만족도 등을 확인하여 신중하게 결정하는 것도 중요하다. 한편 사업자들은 소비자와의 분쟁을 예방하기 위해 기본서비스 내역 및 요금, 선택서비스 내역 및 요금, 계약해제·해지 조건 및 위약금에 
관한 사항 등을 계약체결 전 소비자에게 구체적으로 제공하고 설명할 필요가 있다. 돌잔치 서비스 계약 이용 과정에서 발생한 소비자피해에 대하여 자율적인 분쟁해결이 어려운 경우, 1372소비자상담센터(전국 단일번호 
1372, 발신자부담), 소비자24(www.consumer.go.kr 내 ‘상담/피해구제신청’)를 통하여 소비자 상담 및 피해구제를 신청할 수 있다. 앞으로도 소비자원은 공정위와 돌잔치 서비스 이용 관련 소비자 불만 및 피해상황을 점검하여 소비자 보호 및 피해예방 노력을 지속할 계획이다. 자세한 사항은 첨부 파일을 참조하시기 바랍니다. 피해발생 문의처  1372소비자상담센터 http://www.ccn.go.kr : 국번없이 1372 한국소비자원 http://www.kca.go.kr </v>
      </c>
    </row>
    <row r="15">
      <c r="D15" s="3" t="str">
        <f>IFERROR(__xludf.DUMMYFUNCTION("""COMPUTED_VALUE"""),"설 명절 항공권·택배·건강식품 소비자피해 주의하세요")</f>
        <v>설 명절 항공권·택배·건강식품 소비자피해 주의하세요</v>
      </c>
      <c r="E15" s="3" t="str">
        <f>IFERROR(__xludf.DUMMYFUNCTION("""COMPUTED_VALUE"""),"?menukey=4005&amp;mode=view&amp;no=1004002886")</f>
        <v>?menukey=4005&amp;mode=view&amp;no=1004002886</v>
      </c>
      <c r="F15" s="3" t="str">
        <f>IFERROR(__xludf.DUMMYFUNCTION("TEXTJOIN("" "", TRUE, IMPORTXML(""https://www.kca.go.kr/home/sub.do""&amp;E15, ""//*[@id='view_wrap']""))"),"소비자와 함께하는 피해예방주의보“설 명절 항공권·택배·건강식품 소비자피해 주의하세요”- 설 명정 피해예방주의보 -한국소비자원(원장 윤수현, 이하 ‘소비자원’)과 공정거래위원회(위원장 주병기, 이하 ‘공정위’)는 설 명절을 맞아 거래가 증가할 것으로 
예상되는 항공권, 택배, 건강식품에 대해 소비자 피해주의보를 발령했다.명절 연휴를 전후로 항공권, 택배, 건강식품 품목에 대한 소비자의 구매·이용이 증가하면서 이와 관련한 소비자피해가 발생할 수 있으므로 
"&amp;"소비자들의 각별한 주의가 필요하다.- (항공권) 각 항공사·여행사의 수수료 규정을 꼼꼼히 살펴본 후 구매하고, 여행지의 천재지변 등 안전 여부, 출입국 정책 등을 수시로 
확인한다.- (택배) 명절 직전에는 택배 수요가 몰려 물품 파손·분실, 배송 지연 등의 사고가 발생할 가능성이 있으므로 충분한 시간을 두고 
배송을 의뢰한다.- (건강식품) 주로 고령자를 대상으로 이루어지는 무료체험 등의 상술에 주의하고 구매 및 섭취 의사가 없을 경우 법정기한 내* "&amp;"
청약철회를 요청한다.* 통신판매(온라인쇼핑, TV 홈쇼핑 등) : 7일, 방문판매(전화, 상설매장 외 영업소) : 14일소비자원과 공정위는 소비자들에게 관련 피해사례와 유의사항을 제공하고 유사한 피해를 입지 않도록 주의를 당부했다.피해 발생 시 소비자24 또는 1372소비자상담센터(발신자부담)를 통해 상담 또는 피해구제를 신청할 수 있다.1. 주요 소비자 피해 사례항공권, 택배, 건강식품과 관련한 소비자피해가 지속적으로 발생하고 있으며, 특히 해외여행"&amp;" 수요가 늘고 OTA(온라인 여행사)를 통해 
항공권을 구입하는 소비자가 증가하면서 관련 소비자피해도 급증하고 있어 주의가 필요하다.최근 3년간(’23~’25년) 설 연휴를 전후한 1~2월에 소비자원에 접수된 피해구제 사건은 항공권 1,218건, 택배 166건, 
건강식품 202건으로, 전체의 16.4%(항공권), 16.2%(택배), 19.0%(건강식품)를 차지하는 것으로 나타났다.[사례1] 항공권 구매 후 취소 시 과도한 취소수수료 부과A씨는 2025"&amp;".1.8. 여행사를 통해 인천-오사카 왕복 항공권(2025.1.25.출발, 2025.1.29. 도착)을 4매 구매한 후 
2,201,942원을 결제함. 구매 직후 항공권 구입 취소했으나 230,000원 가량의 수수료가 발생함.- (항공권) 항공권의 구매 취소 시 과도한 위약금이 부과되거나, 항공편 운항의 지연·결항, 위탁수하물 파손에 따른 피해가 많다. [사례2] 신선제품 오배송에 대한 손해배상 거부G씨는 택배사를 통해 갈치를 택배 의뢰했는데 택배가 타"&amp;"장소로 오배송되었고 뒤늦게 물품을 찾았으나 상온에 장시간 방치되면서 변질됨. 
G씨는 오배송에 대해 배상 요구했으나 택배사는 배상을 거부함.- (택배) 운송물이 파손·훼손되거나 분실되는 경우가 많고, 배송 지연·오배송으로 손해가 발생하기도 한다.[사례3] 건강식품 포장 개봉을 이유로 청약철회 거부I씨는 전화권유판매 사업자가 건강식품 무료체험을 권유하여 수령함. 건강식품을 받아보니 일방적으로 본품을 함께 배송한 사실을 확인하여 
즉시 반품 요청했으나, 사"&amp;"업자는 포장을 개봉했다는 이유로 거부함.- (건강식품) 무료체험을 상술로 현혹하여 구매를 유도한 뒤 청약철회를 거부하거나 과다한 위약금을 부과하는 사례가 많다.2. 소비자 유의사항가. 항공권항공권 구매 전 여행지의 천재지변 발생 여부, 현지 안전 상황 등과 항공권 판매처(여행사 또는 항공사)의 취소·변경 규정을 자세히 
확인한다.여행지 또는 경유지의 출입국 규정 변경에 대비해 비자(사증)·세관신고서와 같은 필요 서류 및 사전 허가 조건 등을 확인한 후에"&amp;" 항공권을 
구매한다.판매처, 할인율, 출발지에 따라 취소위약금이 높게 책정될 수 있고, 구매 후에는 탑승객 영문명, 여권 정보 등의 예약내용 변경이 
불가하거나 변경 시 추가 요금이 발생할 수 있으므로 주의가 필요하다.출국일 전에 항공편의 일정 변경이 있는지 수시로 확인한다.항공편 운항 지연·결항, 갑작스러운 일정 변경 등에 대비하여 구매 시 등록한 연락처로 문자메시지 또는 이메일을 받았는지 자주 확인한다.출국일이 가까워지면 항공사를 통해 정확한 출발"&amp;" 시각을 확인하고, 출국 당일에는 혼잡한 도로상황 등을 고려해 여유있게 공항에 도착한다.위탁수하물 피해 발생(분실·파손·인도 지연 등) 시 즉시 공항 내 항공사 데스크에서 피해사실 접수하고 확인서 등을 발급받는다.골프채, 선글라스 등 파손이 쉬운 수하물은 전용 하드케이스로 포장한다.수하물의 외부 오염이 심하거나 파손이 의심되는 경우 가급적 현장에서 내용물을 확인한 후 이동한다.※ 여행 중 신체적·경제적 손해에 대비해 여행자보험에 가입하는 것이 좋다.나."&amp;" 택배명절 전후로는 택배 물량이 급증해 배송이 지연되거나 물품이 훼손·파손되는 사고가 발생할 수 있으므로 충분한 시간을 두고 배송을 의뢰한다.파손·훼손이 우려되는 운송물은 완충재 등을 이용하여 꼼꼼하게 포장하고, ‘파손주의’ 문구를 표기한 후 택배사에 사전 고지한다.식품, 농산물과 같이 부패나 변질 우려가 있는 제품은 ‘특송 서비스’ 등을 이용하거나 가급적 명절 연휴 이후에 택배서비스를 이용하는 
것이 좋다.운송장에 운송물 종류, 수량, 가격을 정확하게"&amp;" 기재하고 배송이 완료될 때까지 보관한다.운송물의 품명과 중량·수량, 물품 가격 등을 운송장에 정확히 기재해야 분실되거나 훼손되었을 때 적절한 배상을 받을 수 있다.50만 원 이상 고가 운송물은 사전에 고지하고 안전 배송 또는 사고 발생에 대비해 추가 요금을 지불하거나 보험에 가입한다.보내는 사람은 받는 사람에게 택배 발송 사실과 송장번호를 미리 알려 배송 상황을 확인하도록 하고, 부재 시 배송장소를 택배사와 협의할 
수 있도록 한다.운송물을 받으면 파"&amp;"손·변질 여부 등을 확인하고 문제가 있는 경우 즉시(늦어도 수령일로부터 14일 이내) 사업자에게 알린다.※ 택배 파손, 분실 등의 피해에 대비해 증빙자료(운송장, 물품 구매영수증, 택배를 보내기 전·후 사진 또는 동영상 등)를 보관한다.다. 건강식품무료체험 후 계약해제 요구 시 각종 사유(체험기간 경과, 본품 손상 등)로 환급을 거부하거나 위약금을 청구하는 경우가 있으므로 
‘무료체험’ 상술로 피해를 입지 않도록 계약내용을 꼼꼼히 확인한다.판매방식(통신"&amp;"판매, 전화권유판매, 방문판매 등)에 따른 신고 여부를 공정거래위원회 홈페이지를 통해 확인하여 신뢰할 수 있는 업체인지 
알아본다.제품 주문 후 구입 및 섭취 의사가 없을 경우 물품의 실제 수령일을 기준으로 통신판매(전자상거래 등)는 7일, 방문 및 전화권유판매는 
14일 이내에 청약철회를 요청한다.사업자가 계약서를 교부하지 않았다면 정상적으로 계약이 성립되었다고 볼 수 없으므로 청약철회가 가능한 것을 인지한 날로부터 14일 이내에 
청약철회가 가능하다"&amp;".제품의 효능·효과로 인한 분쟁 시 이에 대한 책임소재를 입증하기 어려우므로 구입 전 정확한 정보를 확인한다.건강기능식품 구입 시 인증마크 표시가 있는지 확인하도록 하고, 의약품과 달리 질병을 치료하거나 예방할 수 없는 점을 충분히 고려한다.※ 소비자원에 접수된 건강식품 관련 피해 중 60대 이상이 전체의 33.2%에 달하므로 구입 당사자와 가족의 각별한 주의가 요구되며, 
분쟁에 대비해 사업자의 광고·홍보자료, 구입 영수증 등을 보관하는 것이 좋다.3"&amp;". 상담 및 피해구제 안내소비자 피해가 발생하면, ‘소비자24(모바일 앱, www.consumer.go.kr)’ 또는 ‘1372소비자상담센터(국번 없이 
1372(발신자부담), www.ccn.go.kr)’를 통해 거래내역, 증빙서류 등을 갖추어 상담 또는 피해구제를 신청할 수 있다.4. 당부사항소비자원과 공정위는 설 연휴 동안 항공권, 택배, 건강식품을 이용하는 소비자들에게 피해주의보에 담긴 피해사례와 유의사항을 숙지해 피해를 
입지 않도록 주의할 것을"&amp;" 당부했다.자세한 사항은 첨부 파일을 참조하시기 바랍니다.피해발생 문의처 1372소비자상담센터 http://www.ccn.go.kr : 국번없이 1372 한국소비자원 http://www.kca.go.kr ")</f>
        <v>소비자와 함께하는 피해예방주의보“설 명절 항공권·택배·건강식품 소비자피해 주의하세요”- 설 명정 피해예방주의보 -한국소비자원(원장 윤수현, 이하 ‘소비자원’)과 공정거래위원회(위원장 주병기, 이하 ‘공정위’)는 설 명절을 맞아 거래가 증가할 것으로 
예상되는 항공권, 택배, 건강식품에 대해 소비자 피해주의보를 발령했다.명절 연휴를 전후로 항공권, 택배, 건강식품 품목에 대한 소비자의 구매·이용이 증가하면서 이와 관련한 소비자피해가 발생할 수 있으므로 
소비자들의 각별한 주의가 필요하다.- (항공권) 각 항공사·여행사의 수수료 규정을 꼼꼼히 살펴본 후 구매하고, 여행지의 천재지변 등 안전 여부, 출입국 정책 등을 수시로 
확인한다.- (택배) 명절 직전에는 택배 수요가 몰려 물품 파손·분실, 배송 지연 등의 사고가 발생할 가능성이 있으므로 충분한 시간을 두고 
배송을 의뢰한다.- (건강식품) 주로 고령자를 대상으로 이루어지는 무료체험 등의 상술에 주의하고 구매 및 섭취 의사가 없을 경우 법정기한 내* 
청약철회를 요청한다.* 통신판매(온라인쇼핑, TV 홈쇼핑 등) : 7일, 방문판매(전화, 상설매장 외 영업소) : 14일소비자원과 공정위는 소비자들에게 관련 피해사례와 유의사항을 제공하고 유사한 피해를 입지 않도록 주의를 당부했다.피해 발생 시 소비자24 또는 1372소비자상담센터(발신자부담)를 통해 상담 또는 피해구제를 신청할 수 있다.1. 주요 소비자 피해 사례항공권, 택배, 건강식품과 관련한 소비자피해가 지속적으로 발생하고 있으며, 특히 해외여행 수요가 늘고 OTA(온라인 여행사)를 통해 
항공권을 구입하는 소비자가 증가하면서 관련 소비자피해도 급증하고 있어 주의가 필요하다.최근 3년간(’23~’25년) 설 연휴를 전후한 1~2월에 소비자원에 접수된 피해구제 사건은 항공권 1,218건, 택배 166건, 
건강식품 202건으로, 전체의 16.4%(항공권), 16.2%(택배), 19.0%(건강식품)를 차지하는 것으로 나타났다.[사례1] 항공권 구매 후 취소 시 과도한 취소수수료 부과A씨는 2025.1.8. 여행사를 통해 인천-오사카 왕복 항공권(2025.1.25.출발, 2025.1.29. 도착)을 4매 구매한 후 
2,201,942원을 결제함. 구매 직후 항공권 구입 취소했으나 230,000원 가량의 수수료가 발생함.- (항공권) 항공권의 구매 취소 시 과도한 위약금이 부과되거나, 항공편 운항의 지연·결항, 위탁수하물 파손에 따른 피해가 많다. [사례2] 신선제품 오배송에 대한 손해배상 거부G씨는 택배사를 통해 갈치를 택배 의뢰했는데 택배가 타장소로 오배송되었고 뒤늦게 물품을 찾았으나 상온에 장시간 방치되면서 변질됨. 
G씨는 오배송에 대해 배상 요구했으나 택배사는 배상을 거부함.- (택배) 운송물이 파손·훼손되거나 분실되는 경우가 많고, 배송 지연·오배송으로 손해가 발생하기도 한다.[사례3] 건강식품 포장 개봉을 이유로 청약철회 거부I씨는 전화권유판매 사업자가 건강식품 무료체험을 권유하여 수령함. 건강식품을 받아보니 일방적으로 본품을 함께 배송한 사실을 확인하여 
즉시 반품 요청했으나, 사업자는 포장을 개봉했다는 이유로 거부함.- (건강식품) 무료체험을 상술로 현혹하여 구매를 유도한 뒤 청약철회를 거부하거나 과다한 위약금을 부과하는 사례가 많다.2. 소비자 유의사항가. 항공권항공권 구매 전 여행지의 천재지변 발생 여부, 현지 안전 상황 등과 항공권 판매처(여행사 또는 항공사)의 취소·변경 규정을 자세히 
확인한다.여행지 또는 경유지의 출입국 규정 변경에 대비해 비자(사증)·세관신고서와 같은 필요 서류 및 사전 허가 조건 등을 확인한 후에 항공권을 
구매한다.판매처, 할인율, 출발지에 따라 취소위약금이 높게 책정될 수 있고, 구매 후에는 탑승객 영문명, 여권 정보 등의 예약내용 변경이 
불가하거나 변경 시 추가 요금이 발생할 수 있으므로 주의가 필요하다.출국일 전에 항공편의 일정 변경이 있는지 수시로 확인한다.항공편 운항 지연·결항, 갑작스러운 일정 변경 등에 대비하여 구매 시 등록한 연락처로 문자메시지 또는 이메일을 받았는지 자주 확인한다.출국일이 가까워지면 항공사를 통해 정확한 출발 시각을 확인하고, 출국 당일에는 혼잡한 도로상황 등을 고려해 여유있게 공항에 도착한다.위탁수하물 피해 발생(분실·파손·인도 지연 등) 시 즉시 공항 내 항공사 데스크에서 피해사실 접수하고 확인서 등을 발급받는다.골프채, 선글라스 등 파손이 쉬운 수하물은 전용 하드케이스로 포장한다.수하물의 외부 오염이 심하거나 파손이 의심되는 경우 가급적 현장에서 내용물을 확인한 후 이동한다.※ 여행 중 신체적·경제적 손해에 대비해 여행자보험에 가입하는 것이 좋다.나. 택배명절 전후로는 택배 물량이 급증해 배송이 지연되거나 물품이 훼손·파손되는 사고가 발생할 수 있으므로 충분한 시간을 두고 배송을 의뢰한다.파손·훼손이 우려되는 운송물은 완충재 등을 이용하여 꼼꼼하게 포장하고, ‘파손주의’ 문구를 표기한 후 택배사에 사전 고지한다.식품, 농산물과 같이 부패나 변질 우려가 있는 제품은 ‘특송 서비스’ 등을 이용하거나 가급적 명절 연휴 이후에 택배서비스를 이용하는 
것이 좋다.운송장에 운송물 종류, 수량, 가격을 정확하게 기재하고 배송이 완료될 때까지 보관한다.운송물의 품명과 중량·수량, 물품 가격 등을 운송장에 정확히 기재해야 분실되거나 훼손되었을 때 적절한 배상을 받을 수 있다.50만 원 이상 고가 운송물은 사전에 고지하고 안전 배송 또는 사고 발생에 대비해 추가 요금을 지불하거나 보험에 가입한다.보내는 사람은 받는 사람에게 택배 발송 사실과 송장번호를 미리 알려 배송 상황을 확인하도록 하고, 부재 시 배송장소를 택배사와 협의할 
수 있도록 한다.운송물을 받으면 파손·변질 여부 등을 확인하고 문제가 있는 경우 즉시(늦어도 수령일로부터 14일 이내) 사업자에게 알린다.※ 택배 파손, 분실 등의 피해에 대비해 증빙자료(운송장, 물품 구매영수증, 택배를 보내기 전·후 사진 또는 동영상 등)를 보관한다.다. 건강식품무료체험 후 계약해제 요구 시 각종 사유(체험기간 경과, 본품 손상 등)로 환급을 거부하거나 위약금을 청구하는 경우가 있으므로 
‘무료체험’ 상술로 피해를 입지 않도록 계약내용을 꼼꼼히 확인한다.판매방식(통신판매, 전화권유판매, 방문판매 등)에 따른 신고 여부를 공정거래위원회 홈페이지를 통해 확인하여 신뢰할 수 있는 업체인지 
알아본다.제품 주문 후 구입 및 섭취 의사가 없을 경우 물품의 실제 수령일을 기준으로 통신판매(전자상거래 등)는 7일, 방문 및 전화권유판매는 
14일 이내에 청약철회를 요청한다.사업자가 계약서를 교부하지 않았다면 정상적으로 계약이 성립되었다고 볼 수 없으므로 청약철회가 가능한 것을 인지한 날로부터 14일 이내에 
청약철회가 가능하다.제품의 효능·효과로 인한 분쟁 시 이에 대한 책임소재를 입증하기 어려우므로 구입 전 정확한 정보를 확인한다.건강기능식품 구입 시 인증마크 표시가 있는지 확인하도록 하고, 의약품과 달리 질병을 치료하거나 예방할 수 없는 점을 충분히 고려한다.※ 소비자원에 접수된 건강식품 관련 피해 중 60대 이상이 전체의 33.2%에 달하므로 구입 당사자와 가족의 각별한 주의가 요구되며, 
분쟁에 대비해 사업자의 광고·홍보자료, 구입 영수증 등을 보관하는 것이 좋다.3. 상담 및 피해구제 안내소비자 피해가 발생하면, ‘소비자24(모바일 앱, www.consumer.go.kr)’ 또는 ‘1372소비자상담센터(국번 없이 
1372(발신자부담), www.ccn.go.kr)’를 통해 거래내역, 증빙서류 등을 갖추어 상담 또는 피해구제를 신청할 수 있다.4. 당부사항소비자원과 공정위는 설 연휴 동안 항공권, 택배, 건강식품을 이용하는 소비자들에게 피해주의보에 담긴 피해사례와 유의사항을 숙지해 피해를 
입지 않도록 주의할 것을 당부했다.자세한 사항은 첨부 파일을 참조하시기 바랍니다.피해발생 문의처 1372소비자상담센터 http://www.ccn.go.kr : 국번없이 1372 한국소비자원 http://www.kca.go.kr </v>
      </c>
    </row>
    <row r="16">
      <c r="D16" s="3" t="str">
        <f>IFERROR(__xludf.DUMMYFUNCTION("""COMPUTED_VALUE"""),"카셰어링 서비스, 자차보험 가입 시 완전보장 제한조건 주의해야")</f>
        <v>카셰어링 서비스, 자차보험 가입 시 완전보장 제한조건 주의해야</v>
      </c>
      <c r="E16" s="3" t="str">
        <f>IFERROR(__xludf.DUMMYFUNCTION("""COMPUTED_VALUE"""),"?menukey=4005&amp;mode=view&amp;no=1003988120")</f>
        <v>?menukey=4005&amp;mode=view&amp;no=1003988120</v>
      </c>
      <c r="F16" s="3" t="str">
        <f>IFERROR(__xludf.DUMMYFUNCTION("TEXTJOIN("" "", TRUE, IMPORTXML(""https://www.kca.go.kr/home/sub.do""&amp;E16, ""//*[@id='view_wrap']""))"),"소비자와 함께하는 피해예방주의보 “카셰어링 서비스, 자차보험 가입 시 완전보장 제한조건 주의해야” 애플리케이션(이하 ‘앱’)을 통해 손쉽게 차량을 대여하고 반납하는 카셰어링 관련 소비자분쟁이 계속되고 있다. 특히 소비자가 사고 발생 
시 손해배상 책임을 면제 또는 감액받기 위해 가입하는 ‘차량손해면책제도(이하 ‘자차보험*’)’의 면책금(자기부담금)*과 관련한 분쟁이 
다발하고 있어 소비자들의 주의가 필요하다. * 자차보험 : ‘자차손해면책제도’가 정식명"&amp;"칭이며, 「자동차손해배상보장법」상 자동차보험에서 보장되지 않는 자기차량손해를 보전하기 위해 
렌터카 사업자가 자율적으로 마련하여 운영하는 제도로, 사고 발생 시 자차보험에 가입한 경우 사고 차량에 대한 손해(수리비 등)를 일부 
면책받게 됨. ** 면책금/자기부담금: 소비자 귀책사유로 사고가 발생하는 경우 보험처리, 대여차량 수리를 위해 소비자에게 청구하는 부담금 *** 소비자가 면책금 30만원의 자차보험에 가입하였고 수리비가 50만원이 청구된 경우, "&amp;"소비자가 사업자에게 면책금 30만원을 지불하면 
그 이상의 수리비(20만원)에 대한 소비자의 부담 책임은 면제됨(면책금이 낮을수록 차량 대여비가 상승). 사고 발생 시 ‘면책금 관련 분쟁’이 35.1% 최근 3년간(’23년~’25년 10월) 접수된 카셰어링 관련 피해구제 신청은 342건으로 수리비·면책금·휴차료 과다 청구 등 ‘사고 
관련 분쟁’이 38.9%(133건)였고, 계약해제(해지)·위약금 과다 등 ‘계약 관련 분쟁’이 37.1%(127건)였다."&amp;" 특히 사고 관련 분쟁(133건)의 47.3%(63건)는 면책처리 거부로 인한 것이었고, 42.9%(57건)는 수리비·면책금 과다청구와 
관련한 분쟁이었다. 이를 합한 ‘면책금 관련 분쟁’은 90.2%(120건)에 달했다. ‘완전보장’ 자차보험 가입해도 보장제한 조건 많아 카셰어링 계약 시 소비자는 사고에 대해 손해배상 책임을 면제 또는 감액받기 위해 카셰어링 사업자가 자체적으로 마련하여 운영하는 
자차보험에 가입하는 경우가 많다. 앱을 통한 계약 시 "&amp;"카셰어링 3사의 자차보험 광고는 대부분 ‘완전보장’, ‘자기부담금 0원’ 등의 문구를 포함하고 있어 소비자는 사고 
발생 시 손해배상 책임이 면제될 것으로 인식하기 쉽다. 그러나 법 위반이나 미통보 사고 등을 이유로 보장을 제한한 사례가 있으며, 제한 
내용을 확인하기 위해서는 여러 단계를 거치도록 되어 있어 소비자가 주요 내용을 직관적으로 확인하기 어려웠다. 이로 인해 소비자가 사전에 인지하지 못한 흠집 등이 차량 반납 후 발견된 경우(미인지 사고),"&amp;" 사고 후 자차보험으로 처리될 것으로 
생각해 즉시 알리지 않은 경우(미통보 사고) 면책처리가 거부되거나 면책금이 과다 청구되는 사례가 발생했다. 최근 3년간 이와 같이 
미인지·미통보 사고로 인한 분쟁은 면책금 관련 분쟁(120건)의 38.3%(46건)를 차지했다. 사고유무 관계없이 차량 상태 확인 후 반납해야 카셰어링은 렌터카와 달리 계약부터 반납까지 직원으로부터 주요 내용을 설명받거나, 차량 상태를 함께 확인하는 절차가 없어 대여 및 반납에 
상당"&amp;"한 주의가 필요하다. 이에 한국소비자원은 카셰어링 3개 사업자에게 앱 내에 자차보험 적용 제한 관련 주요 내용을 소비자가 쉽게 찾을 수 있도록 올 4월과 
12월에 개선을 권고한 바 있다. 소비자에게는 ▲계약 시 자차보험의 보장한도 및 면책 제외 등 거래조건을 자세히 살펴볼 것, ▲차량 이용 중 사고 발생 시 사업자에게 
즉시 통보할 것, ▲차량 반납 전 차량 상태를 꼼꼼하게 점검할 것, ▲대여 시 사진과 비교하여 이상이 있는 경우 반드시 사업자에게 알"&amp;"린 
후 반납을 진행할 것 등을 당부했다. 자세한 사항은 첨부 파일을 참조하시기 바랍니다. 피해발생 문의처  1372소비자상담센터 http://www.ccn.go.kr""&gt; : 국번없이 1372 한국소비자원 
http://www.kca.go.kr""&gt;   서울강원지원 자동차팀 팀장 김수정 TEL. 02-3460-3041 / 과장 권재현 TEL. 02-3460-3045 ")</f>
        <v>소비자와 함께하는 피해예방주의보 “카셰어링 서비스, 자차보험 가입 시 완전보장 제한조건 주의해야” 애플리케이션(이하 ‘앱’)을 통해 손쉽게 차량을 대여하고 반납하는 카셰어링 관련 소비자분쟁이 계속되고 있다. 특히 소비자가 사고 발생 
시 손해배상 책임을 면제 또는 감액받기 위해 가입하는 ‘차량손해면책제도(이하 ‘자차보험*’)’의 면책금(자기부담금)*과 관련한 분쟁이 
다발하고 있어 소비자들의 주의가 필요하다. * 자차보험 : ‘자차손해면책제도’가 정식명칭이며, 「자동차손해배상보장법」상 자동차보험에서 보장되지 않는 자기차량손해를 보전하기 위해 
렌터카 사업자가 자율적으로 마련하여 운영하는 제도로, 사고 발생 시 자차보험에 가입한 경우 사고 차량에 대한 손해(수리비 등)를 일부 
면책받게 됨. ** 면책금/자기부담금: 소비자 귀책사유로 사고가 발생하는 경우 보험처리, 대여차량 수리를 위해 소비자에게 청구하는 부담금 *** 소비자가 면책금 30만원의 자차보험에 가입하였고 수리비가 50만원이 청구된 경우, 소비자가 사업자에게 면책금 30만원을 지불하면 
그 이상의 수리비(20만원)에 대한 소비자의 부담 책임은 면제됨(면책금이 낮을수록 차량 대여비가 상승). 사고 발생 시 ‘면책금 관련 분쟁’이 35.1% 최근 3년간(’23년~’25년 10월) 접수된 카셰어링 관련 피해구제 신청은 342건으로 수리비·면책금·휴차료 과다 청구 등 ‘사고 
관련 분쟁’이 38.9%(133건)였고, 계약해제(해지)·위약금 과다 등 ‘계약 관련 분쟁’이 37.1%(127건)였다. 특히 사고 관련 분쟁(133건)의 47.3%(63건)는 면책처리 거부로 인한 것이었고, 42.9%(57건)는 수리비·면책금 과다청구와 
관련한 분쟁이었다. 이를 합한 ‘면책금 관련 분쟁’은 90.2%(120건)에 달했다. ‘완전보장’ 자차보험 가입해도 보장제한 조건 많아 카셰어링 계약 시 소비자는 사고에 대해 손해배상 책임을 면제 또는 감액받기 위해 카셰어링 사업자가 자체적으로 마련하여 운영하는 
자차보험에 가입하는 경우가 많다. 앱을 통한 계약 시 카셰어링 3사의 자차보험 광고는 대부분 ‘완전보장’, ‘자기부담금 0원’ 등의 문구를 포함하고 있어 소비자는 사고 
발생 시 손해배상 책임이 면제될 것으로 인식하기 쉽다. 그러나 법 위반이나 미통보 사고 등을 이유로 보장을 제한한 사례가 있으며, 제한 
내용을 확인하기 위해서는 여러 단계를 거치도록 되어 있어 소비자가 주요 내용을 직관적으로 확인하기 어려웠다. 이로 인해 소비자가 사전에 인지하지 못한 흠집 등이 차량 반납 후 발견된 경우(미인지 사고), 사고 후 자차보험으로 처리될 것으로 
생각해 즉시 알리지 않은 경우(미통보 사고) 면책처리가 거부되거나 면책금이 과다 청구되는 사례가 발생했다. 최근 3년간 이와 같이 
미인지·미통보 사고로 인한 분쟁은 면책금 관련 분쟁(120건)의 38.3%(46건)를 차지했다. 사고유무 관계없이 차량 상태 확인 후 반납해야 카셰어링은 렌터카와 달리 계약부터 반납까지 직원으로부터 주요 내용을 설명받거나, 차량 상태를 함께 확인하는 절차가 없어 대여 및 반납에 
상당한 주의가 필요하다. 이에 한국소비자원은 카셰어링 3개 사업자에게 앱 내에 자차보험 적용 제한 관련 주요 내용을 소비자가 쉽게 찾을 수 있도록 올 4월과 
12월에 개선을 권고한 바 있다. 소비자에게는 ▲계약 시 자차보험의 보장한도 및 면책 제외 등 거래조건을 자세히 살펴볼 것, ▲차량 이용 중 사고 발생 시 사업자에게 
즉시 통보할 것, ▲차량 반납 전 차량 상태를 꼼꼼하게 점검할 것, ▲대여 시 사진과 비교하여 이상이 있는 경우 반드시 사업자에게 알린 
후 반납을 진행할 것 등을 당부했다. 자세한 사항은 첨부 파일을 참조하시기 바랍니다. 피해발생 문의처  1372소비자상담센터 http://www.ccn.go.kr"&gt; : 국번없이 1372 한국소비자원 
http://www.kca.go.kr"&gt;   서울강원지원 자동차팀 팀장 김수정 TEL. 02-3460-3041 / 과장 권재현 TEL. 02-3460-3045 </v>
      </c>
    </row>
    <row r="17">
      <c r="D17" s="3" t="str">
        <f>IFERROR(__xludf.DUMMYFUNCTION("""COMPUTED_VALUE"""),"이동통신 피해 급증, 계약해지 시 위약금 피해 많아")</f>
        <v>이동통신 피해 급증, 계약해지 시 위약금 피해 많아</v>
      </c>
      <c r="E17" s="3" t="str">
        <f>IFERROR(__xludf.DUMMYFUNCTION("""COMPUTED_VALUE"""),"?menukey=4005&amp;mode=view&amp;no=1003982435")</f>
        <v>?menukey=4005&amp;mode=view&amp;no=1003982435</v>
      </c>
      <c r="F17" s="3" t="str">
        <f>IFERROR(__xludf.DUMMYFUNCTION("TEXTJOIN("" "", TRUE, IMPORTXML(""https://www.kca.go.kr/home/sub.do""&amp;E17, ""//*[@id='view_wrap']""))"),"소비자와 함께하는 피해예방주의보 “이동통신 피해 급증, 계약해지 시 위약금 피해 많아” 이동통신서비스와 관련하여 계약해지 시 위약금 과다, 계약불이행 등 계약과 관련한 피해가 60%를 차지하는 것으로 나타나 소비자 주의가 
요구된다. 최근 3년간(’22년~’25년 6월) 한국소비자원(원장 윤수현)에 접수된 이동통신 관련 피해구제 신청은 총 3,314건이었으며, 특히 
2025년 상반기에만 630건이 접수돼 전년 동기 대비 약 37.6% 증가한 것으로 나"&amp;"타났다. * ’22년 956건 → ’23년 866건 → ’24년 862건(상반기 458건) → ’25년 상반기 630건(37.6%↑) 피해구제 신청은 ㈜엘지유플러스가 가장 많고, 합의율은 ㈜케이티가 가장 높아 최근 1년간(’24년~’25년 6월) 접수된 이동통신 관련 피해구제 신청 1,492건을 사업자별로 분석한 결과, 주요 3개 사업자가 
94.2%(1,406건)를 차지했다. 가입자 100만 명당 피해구제 신청은 ㈜엘지유플러스가 30.1건으로 가장 많"&amp;"았고, 이어 SK텔레콤㈜ 27.9건, ㈜케이티 24.6건의 
순이었다. 3개 사업자의 평균 합의율은 60.6%였으며, 사업자별로는 ㈜케이티가 70.5%로 가장 높았고, 이어 SK텔레콤㈜ 
57.6%, ㈜엘지유플러스 56.1%의 순이었다. SK텔레콤㈜는 계약불이행, ㈜케이티·㈜엘지유플러스는 부당행위 비중 높아 주요 3개 사업자의 신청이유별 비중을 살펴보면, SK텔레콤㈜는 보조금 미지급 또는 환수 등 ‘계약불이행’이 28.2%(188건)로 
상대적으로 높았"&amp;"고, ㈜케이티와 ㈜엘지유플러스는 해지누락·직권해지 등 ‘부당행위’가 각각 27.8%(103건), 27.9%(103건)로 
비교적 높았다. 기기대금·요금제 등 중요 내용 계약서 포함 여부 확인 필요 한국소비자원은 지난 11월 이동통신 주요 3개 사업자와 간담회를 통해 이동통신 분야 소비자 피해 감축 및 합의율 제고 방안을 논의하고, 
사업자에게 계약 체결 시 기기대금, 요금제, 위약금 등 중요 내용에 대한 정보제공을 강화할 것을 권고했다. 소비자에게는 ▲"&amp;"계약 체결 전 스마트폰 구입과 이동통신 이용 거래조건을 구분해 꼼꼼히 살필 것, ▲계약 체결 시 
기기대금·할부기간·약정기간·요금제· 위약금 등 중요 내용이 계약서에 포함됐는지 확인할 것, ▲계약 체결 후 계약 해지 또는 부가서비스 
해지를 신청한 경우 정상적으로 해지 처리됐는지 확인할 것 등을 당부했다. 자세한 사항은 첨부 파일을 참조하시기 바랍니다. 피해발생 문의처   1372소비자상담센터 http://www.ccn.go.kr&gt; : 국번없이 1372"&amp;" 한국소비자원 
http://www.kca.go.kr&gt;     서울강원지원 정보통신팀 팀장 이찬향 TEL. 02-3460-3141 / 차장 채희영 TEL. 02-3460-3142 ")</f>
        <v>소비자와 함께하는 피해예방주의보 “이동통신 피해 급증, 계약해지 시 위약금 피해 많아” 이동통신서비스와 관련하여 계약해지 시 위약금 과다, 계약불이행 등 계약과 관련한 피해가 60%를 차지하는 것으로 나타나 소비자 주의가 
요구된다. 최근 3년간(’22년~’25년 6월) 한국소비자원(원장 윤수현)에 접수된 이동통신 관련 피해구제 신청은 총 3,314건이었으며, 특히 
2025년 상반기에만 630건이 접수돼 전년 동기 대비 약 37.6% 증가한 것으로 나타났다. * ’22년 956건 → ’23년 866건 → ’24년 862건(상반기 458건) → ’25년 상반기 630건(37.6%↑) 피해구제 신청은 ㈜엘지유플러스가 가장 많고, 합의율은 ㈜케이티가 가장 높아 최근 1년간(’24년~’25년 6월) 접수된 이동통신 관련 피해구제 신청 1,492건을 사업자별로 분석한 결과, 주요 3개 사업자가 
94.2%(1,406건)를 차지했다. 가입자 100만 명당 피해구제 신청은 ㈜엘지유플러스가 30.1건으로 가장 많았고, 이어 SK텔레콤㈜ 27.9건, ㈜케이티 24.6건의 
순이었다. 3개 사업자의 평균 합의율은 60.6%였으며, 사업자별로는 ㈜케이티가 70.5%로 가장 높았고, 이어 SK텔레콤㈜ 
57.6%, ㈜엘지유플러스 56.1%의 순이었다. SK텔레콤㈜는 계약불이행, ㈜케이티·㈜엘지유플러스는 부당행위 비중 높아 주요 3개 사업자의 신청이유별 비중을 살펴보면, SK텔레콤㈜는 보조금 미지급 또는 환수 등 ‘계약불이행’이 28.2%(188건)로 
상대적으로 높았고, ㈜케이티와 ㈜엘지유플러스는 해지누락·직권해지 등 ‘부당행위’가 각각 27.8%(103건), 27.9%(103건)로 
비교적 높았다. 기기대금·요금제 등 중요 내용 계약서 포함 여부 확인 필요 한국소비자원은 지난 11월 이동통신 주요 3개 사업자와 간담회를 통해 이동통신 분야 소비자 피해 감축 및 합의율 제고 방안을 논의하고, 
사업자에게 계약 체결 시 기기대금, 요금제, 위약금 등 중요 내용에 대한 정보제공을 강화할 것을 권고했다. 소비자에게는 ▲계약 체결 전 스마트폰 구입과 이동통신 이용 거래조건을 구분해 꼼꼼히 살필 것, ▲계약 체결 시 
기기대금·할부기간·약정기간·요금제· 위약금 등 중요 내용이 계약서에 포함됐는지 확인할 것, ▲계약 체결 후 계약 해지 또는 부가서비스 
해지를 신청한 경우 정상적으로 해지 처리됐는지 확인할 것 등을 당부했다. 자세한 사항은 첨부 파일을 참조하시기 바랍니다. 피해발생 문의처   1372소비자상담센터 http://www.ccn.go.kr&gt; : 국번없이 1372 한국소비자원 
http://www.kca.go.kr&gt;     서울강원지원 정보통신팀 팀장 이찬향 TEL. 02-3460-3141 / 차장 채희영 TEL. 02-3460-3142 </v>
      </c>
    </row>
    <row r="18">
      <c r="D18" s="3" t="str">
        <f>IFERROR(__xludf.DUMMYFUNCTION("""COMPUTED_VALUE"""),"치과 진료비 분쟁 급증, 치료비용계획서 제공 활성화 필요")</f>
        <v>치과 진료비 분쟁 급증, 치료비용계획서 제공 활성화 필요</v>
      </c>
      <c r="E18" s="3" t="str">
        <f>IFERROR(__xludf.DUMMYFUNCTION("""COMPUTED_VALUE"""),"?menukey=4005&amp;mode=view&amp;no=1003974692")</f>
        <v>?menukey=4005&amp;mode=view&amp;no=1003974692</v>
      </c>
      <c r="F18" s="3" t="str">
        <f>IFERROR(__xludf.DUMMYFUNCTION("TEXTJOIN("" "", TRUE, IMPORTXML(""https://www.kca.go.kr/home/sub.do""&amp;E18, ""//*[@id='view_wrap']""))"),"소비자와 함께하는 피해예방주의보 “치과 진료비 분쟁 급증, 치료비용계획서 제공 활성화 필요” 최근 3년간(2022년~2025년 상반기) 한국소비자원(원장 윤수현)에 접수된 치과 관련 피해구제 신청이 매년 증가*하고 있는 가운데, 
특히 진료비와 관련된 분쟁이 매년 큰 폭으로 늘고 있어 소비자들의 각별한 주의가 필요하다. * 피해구제 신청 건수(치과 전체): ’22년 1744건 → ’23년 168건 → ’24년 195건 → ’25년 상반기 128건 진료비"&amp;" 관련 분쟁, 해마다 약 60%씩 급증 해당 기간 치과 관련 피해구제는 총 635건이 접수되었으며, 신청이유별로는 부작용 관련 분쟁*이 63.5%(403건)로 가장 많았고, 
다음으로 진료비 관련 분쟁이 31.6%(201건)였다. * 치료 후 통증이나 감각 이상, 보철물 탈락, 감염, 출혈 발생 등 진료비 관련 분쟁은 2022년부터 매년 급증해 치과 관련 피해구제 신청 증가의 주요 원인으로 분석된다. 특히 올해는 상반기에만 55건이 
접수돼 전년 동기 "&amp;"대비 61.8% 급증했다. 진료비 관련 201건의 분쟁 유형을 세부적으로 살펴보면, ‘진료비 및 위약금 과다 공제’가 83.6%(168건)로 
대부분이었으며,‘치료계획 변경 또는 추가 비용 요구’가 16.4%(33건)였다. ‘치료비용계획서’가 제공된 경우는 40%에 못 미쳐 진료비 관련 분쟁의 치료유형별로는 임플란트 치료가 55.2%(111건)로 가장 많았고, 이어서 보철 16.9%(34건), 교정 
14.4%(29건) 등의 순이었다. 이 중 소비자에게"&amp;" 치료비용계획서가 제공된 경우는 39.3%에 불과했다. 치료비용계획서는 치료내용과 기간 및 단계별 비용 등이 기록된 문서로 「임플란트시술동의서 표준약관(공정거래위원회-제10071호)」은 
“환자가 요구하는 경우 의료기관이 이를 제공할 수 있다”라고 규정하고 있다. 한국소비자원은 치료내용과 단계별 진료비에 대한 소비자의 알 권리를 보장하고 계약해지 시 진료비 분쟁을 감축하기 위해 대한치과의사협회와 
대한임플란트외과학회 등에 치과 병·의원들이 자발적으로 치"&amp;"료비용계획서를 소비자에게 제공하도록 권고할 계획이다. 소비자에게는 ▲ 무료 진단, 한정 기간 할인 등의 이벤트에 현혹되지 말고 계약 조건을 반드시 확인할 것, ▲ 치료 계약시에는 
치과의사에게 본인의 구강건강 상태·치료계획·치료단계별 비용에 대한 상세한 설명과 치료비용계획서 등의 관련 자료를 요구할 것, ▲ 치료를 
결정한 후에는 진료비 전액을 선납하기보다는 치료단계에 따라 분할하여 납부할 것을 당부했다. 자세한 사항은 첨부 파일을 참조하시기 바랍니다."&amp;" 피해발생 문의처   1372소비자상담센터 : http://www.ccn.go.kr""&gt; : 국번없이 1372 한국소비자원 
http://www.kca.go.kr""&gt;     서울강원지원 보험의료팀 팀장 권선화 TEL. 02-3460-3121 / 과장 김혜미 TEL. 02-3460-3126 ")</f>
        <v>소비자와 함께하는 피해예방주의보 “치과 진료비 분쟁 급증, 치료비용계획서 제공 활성화 필요” 최근 3년간(2022년~2025년 상반기) 한국소비자원(원장 윤수현)에 접수된 치과 관련 피해구제 신청이 매년 증가*하고 있는 가운데, 
특히 진료비와 관련된 분쟁이 매년 큰 폭으로 늘고 있어 소비자들의 각별한 주의가 필요하다. * 피해구제 신청 건수(치과 전체): ’22년 1744건 → ’23년 168건 → ’24년 195건 → ’25년 상반기 128건 진료비 관련 분쟁, 해마다 약 60%씩 급증 해당 기간 치과 관련 피해구제는 총 635건이 접수되었으며, 신청이유별로는 부작용 관련 분쟁*이 63.5%(403건)로 가장 많았고, 
다음으로 진료비 관련 분쟁이 31.6%(201건)였다. * 치료 후 통증이나 감각 이상, 보철물 탈락, 감염, 출혈 발생 등 진료비 관련 분쟁은 2022년부터 매년 급증해 치과 관련 피해구제 신청 증가의 주요 원인으로 분석된다. 특히 올해는 상반기에만 55건이 
접수돼 전년 동기 대비 61.8% 급증했다. 진료비 관련 201건의 분쟁 유형을 세부적으로 살펴보면, ‘진료비 및 위약금 과다 공제’가 83.6%(168건)로 
대부분이었으며,‘치료계획 변경 또는 추가 비용 요구’가 16.4%(33건)였다. ‘치료비용계획서’가 제공된 경우는 40%에 못 미쳐 진료비 관련 분쟁의 치료유형별로는 임플란트 치료가 55.2%(111건)로 가장 많았고, 이어서 보철 16.9%(34건), 교정 
14.4%(29건) 등의 순이었다. 이 중 소비자에게 치료비용계획서가 제공된 경우는 39.3%에 불과했다. 치료비용계획서는 치료내용과 기간 및 단계별 비용 등이 기록된 문서로 「임플란트시술동의서 표준약관(공정거래위원회-제10071호)」은 
“환자가 요구하는 경우 의료기관이 이를 제공할 수 있다”라고 규정하고 있다. 한국소비자원은 치료내용과 단계별 진료비에 대한 소비자의 알 권리를 보장하고 계약해지 시 진료비 분쟁을 감축하기 위해 대한치과의사협회와 
대한임플란트외과학회 등에 치과 병·의원들이 자발적으로 치료비용계획서를 소비자에게 제공하도록 권고할 계획이다. 소비자에게는 ▲ 무료 진단, 한정 기간 할인 등의 이벤트에 현혹되지 말고 계약 조건을 반드시 확인할 것, ▲ 치료 계약시에는 
치과의사에게 본인의 구강건강 상태·치료계획·치료단계별 비용에 대한 상세한 설명과 치료비용계획서 등의 관련 자료를 요구할 것, ▲ 치료를 
결정한 후에는 진료비 전액을 선납하기보다는 치료단계에 따라 분할하여 납부할 것을 당부했다. 자세한 사항은 첨부 파일을 참조하시기 바랍니다. 피해발생 문의처   1372소비자상담센터 : http://www.ccn.go.kr"&gt; : 국번없이 1372 한국소비자원 
http://www.kca.go.kr"&gt;     서울강원지원 보험의료팀 팀장 권선화 TEL. 02-3460-3121 / 과장 김혜미 TEL. 02-3460-3126 </v>
      </c>
    </row>
    <row r="19">
      <c r="D19" s="3" t="str">
        <f>IFERROR(__xludf.DUMMYFUNCTION("""COMPUTED_VALUE"""),"유사 콘도회원권, 소비자 기만 상술로 인한 피해 주의!")</f>
        <v>유사 콘도회원권, 소비자 기만 상술로 인한 피해 주의!</v>
      </c>
      <c r="E19" s="3" t="str">
        <f>IFERROR(__xludf.DUMMYFUNCTION("""COMPUTED_VALUE"""),"?menukey=4005&amp;mode=view&amp;no=1003973841")</f>
        <v>?menukey=4005&amp;mode=view&amp;no=1003973841</v>
      </c>
      <c r="F19" s="3" t="str">
        <f>IFERROR(__xludf.DUMMYFUNCTION("TEXTJOIN("" "", TRUE, IMPORTXML(""https://www.kca.go.kr/home/sub.do""&amp;E19, ""//*[@id='view_wrap']""))"),"소비자와 함께하는 피해예방주의보 “유사 콘도회원권, 소비자 기만 상술로 인한 피해 주의!” 최근 유사 콘도회원권*과 관련하여 이벤트 당첨이나 기존 회원권의 매매·보상 등으로 소비자를 유인한 후 새로운 상품에 가입시키는 기만 
상술이 늘고 있어, 소비자들의 각별한 주의가 요구된다. * 유사 콘도회원권이란「관광진흥법」에 따라 등록된 관광숙박업자가 아닌 사업자가 판매하는 숙박이용권으로, 소비자는 사업자와 연계·제휴된 
호텔, 펜션 등의 숙박시설을 이용하며 사"&amp;"업자는 예약 대행 등의 서비스를 제공함. 최근 3년간(’22년~’25년 6월) 한국소비자원(원장 윤수현)에 접수된 콘도회원권 관련 피해구제 신청은 684건으로 2023년 이후 
계속 증가 추세이다. * ’22년 179건 → ’23년 146건 → ’24년 240건(상반기 105건) → ’25년 상반기 119건(13.3%↑) 계약해지 거부 및 위약금 과다 피해가 65.8% 피해구제 신청이유는 계약해지 거부 및 위약금 과다 피해가 65.8%(450건)로 가장"&amp;" 많았고, 이어서 입회보증금 반환 지연 등의 
계약불이행 19.6%(134건), 청약철회 거부 11.1%(76건)의 순이었다. * 연도별: (’21년) 132건 → (’22년) 109건 → (’23년) 127건 → (’24년) 136건 → (’25년 7월) 80건 성별과 연령대가 확인된 675건 중 남성이 78.7%(531건)로 여성보다 현저히 많았고, 30~50대 중장년층이 
67.7%(457건)로 높은 비중을 차지했다. 보유 중인 콘도회원권의 보상 "&amp;"또는 무료숙박권 당첨을 미끼로 한 상술 많아 같은 기간 콘도회원권과 관련하여 접수된 사건 중 45.3%(310건)은 소비자 기만 상술에 해당했다. 이중 소비자가 보유 중인 타업체 
콘도회원권을 판매 또는 보상해주겠다며 유인한 후 자사 신규 상품을 판매하는 경우(판매·보상형)가 57.4%(178건), 이벤트 당첨 
등을 미끼로 신규 가입을 유도하는 경우(이벤트당첨형)가 40.0%(124건)였다. 특히 최근에는 보유 중인 회원권을 판매해주겠다며 수수료 명목"&amp;"으로 결제를 유도한 후, 판매대금 반환을 미루고 담보로 미상장된 
가상자산(코인)을 지급하는 신종 기만 사례(13건)도 확인됐다. 한국소비자원은 유사 콘도회원권의 기만 상술로 인한 소비자피해를 예방하기 위해 관할 지자체에 법 위반 업체를 통보하는 한편, 수사기관에 
수사를 의뢰할 예정이다. 소비자들에게는 ▲보유한 콘도회원권 판매 또는 이벤트 당첨 등의 상술에 현혹되지 말고 신중히 계약할 것, ▲충동계약을 했다면, 14일 
이내 서면(내용증명 등)으로 청"&amp;"약철회를 요구할 것, ▲영업직원과 구두로 약정한 사항은 계약서에 기재할 것, ▲장기 계약은 가급적 
신용카드 할부로 결제할 것, ▲분쟁 발생 시 해결이 어려울 수 있으므로 내용증명, 문자 등 입증자료를 미리 보관해둘 것 등을 강조했다. 자세한 사항은 첨부 파일을 참조하시기 바랍니다. 피해발생 문의처   1372소비자상담센터 http://www.ccn.go.kr""&gt; : 국번없이 1372 한국소비자원 
http://www.kca.go.kr""&gt;     서"&amp;"울강원지원 문화레저팀 팀장 김진환 TEL. 02-3460-3011 / 과장 강인영 TEL. 02-3460-3019 ")</f>
        <v>소비자와 함께하는 피해예방주의보 “유사 콘도회원권, 소비자 기만 상술로 인한 피해 주의!” 최근 유사 콘도회원권*과 관련하여 이벤트 당첨이나 기존 회원권의 매매·보상 등으로 소비자를 유인한 후 새로운 상품에 가입시키는 기만 
상술이 늘고 있어, 소비자들의 각별한 주의가 요구된다. * 유사 콘도회원권이란「관광진흥법」에 따라 등록된 관광숙박업자가 아닌 사업자가 판매하는 숙박이용권으로, 소비자는 사업자와 연계·제휴된 
호텔, 펜션 등의 숙박시설을 이용하며 사업자는 예약 대행 등의 서비스를 제공함. 최근 3년간(’22년~’25년 6월) 한국소비자원(원장 윤수현)에 접수된 콘도회원권 관련 피해구제 신청은 684건으로 2023년 이후 
계속 증가 추세이다. * ’22년 179건 → ’23년 146건 → ’24년 240건(상반기 105건) → ’25년 상반기 119건(13.3%↑) 계약해지 거부 및 위약금 과다 피해가 65.8% 피해구제 신청이유는 계약해지 거부 및 위약금 과다 피해가 65.8%(450건)로 가장 많았고, 이어서 입회보증금 반환 지연 등의 
계약불이행 19.6%(134건), 청약철회 거부 11.1%(76건)의 순이었다. * 연도별: (’21년) 132건 → (’22년) 109건 → (’23년) 127건 → (’24년) 136건 → (’25년 7월) 80건 성별과 연령대가 확인된 675건 중 남성이 78.7%(531건)로 여성보다 현저히 많았고, 30~50대 중장년층이 
67.7%(457건)로 높은 비중을 차지했다. 보유 중인 콘도회원권의 보상 또는 무료숙박권 당첨을 미끼로 한 상술 많아 같은 기간 콘도회원권과 관련하여 접수된 사건 중 45.3%(310건)은 소비자 기만 상술에 해당했다. 이중 소비자가 보유 중인 타업체 
콘도회원권을 판매 또는 보상해주겠다며 유인한 후 자사 신규 상품을 판매하는 경우(판매·보상형)가 57.4%(178건), 이벤트 당첨 
등을 미끼로 신규 가입을 유도하는 경우(이벤트당첨형)가 40.0%(124건)였다. 특히 최근에는 보유 중인 회원권을 판매해주겠다며 수수료 명목으로 결제를 유도한 후, 판매대금 반환을 미루고 담보로 미상장된 
가상자산(코인)을 지급하는 신종 기만 사례(13건)도 확인됐다. 한국소비자원은 유사 콘도회원권의 기만 상술로 인한 소비자피해를 예방하기 위해 관할 지자체에 법 위반 업체를 통보하는 한편, 수사기관에 
수사를 의뢰할 예정이다. 소비자들에게는 ▲보유한 콘도회원권 판매 또는 이벤트 당첨 등의 상술에 현혹되지 말고 신중히 계약할 것, ▲충동계약을 했다면, 14일 
이내 서면(내용증명 등)으로 청약철회를 요구할 것, ▲영업직원과 구두로 약정한 사항은 계약서에 기재할 것, ▲장기 계약은 가급적 
신용카드 할부로 결제할 것, ▲분쟁 발생 시 해결이 어려울 수 있으므로 내용증명, 문자 등 입증자료를 미리 보관해둘 것 등을 강조했다. 자세한 사항은 첨부 파일을 참조하시기 바랍니다. 피해발생 문의처   1372소비자상담센터 http://www.ccn.go.kr"&gt; : 국번없이 1372 한국소비자원 
http://www.kca.go.kr"&gt;     서울강원지원 문화레저팀 팀장 김진환 TEL. 02-3460-3011 / 과장 강인영 TEL. 02-3460-3019 </v>
      </c>
    </row>
    <row r="20">
      <c r="D20" s="3" t="str">
        <f>IFERROR(__xludf.DUMMYFUNCTION("""COMPUTED_VALUE"""),"중고 스마트폰, 최근 미배송 등 소비자피해 급증")</f>
        <v>중고 스마트폰, 최근 미배송 등 소비자피해 급증</v>
      </c>
      <c r="E20" s="3" t="str">
        <f>IFERROR(__xludf.DUMMYFUNCTION("""COMPUTED_VALUE"""),"?menukey=4005&amp;mode=view&amp;no=1003971554")</f>
        <v>?menukey=4005&amp;mode=view&amp;no=1003971554</v>
      </c>
      <c r="F20" s="3" t="str">
        <f>IFERROR(__xludf.DUMMYFUNCTION("TEXTJOIN("" "", TRUE, IMPORTXML(""https://www.kca.go.kr/home/sub.do""&amp;E20, ""//*[@id='view_wrap']""))"),"소비자와 함께하는 피해예방주의보 “중고 스마트폰, 최근 미배송 등 소비자피해 급증” 최근 온라인 상에서 중고폰 전문 판매업자를 통해 스마트폰을 구입한 후 배송받지 못하는 피해가 증가하고 있다. 올해 한국소비자원(원장 
윤수현)에 접수된 중고 스마트폰 관련 피해구제 신청은 월 10여 건 안팎이었으나, 9월부터 급증하기 시작해 11월(17일기준)에는 
53건으로 8월 대비 4.4배 급증해 소비자들의 주의가 필요하다. * (’25년 월별 피해구제 신청 현황)"&amp;" 1~6월 70건→7월 9건→8월 12건→9월 22건→10월 33건→11월(~17일) 53건 최근 3년간(’22년~’25년 9월) 한국소비자원에 접수된 중고 스마트폰 관련 피해구제 신청은 총 349건으로 매년 증가하는 것으로 
나타났다. 피해구제 신청이유를 분석한 결과, ‘품질’이 44.7%(156건), ‘계약’이 41.0%(143건)를 차지했다. * (연도별 피해구제 신청 현황) ’22년 42건 →’23년 78건 →’24년 116건(1월~9월 86건)"&amp;" →’25년 1월~9월 113건 제품 미배송 등계약 관련 피해 급증 ‘계약’ 관련 세부 유형별로 제품 미배송 등 ‘계약불이행’이 43.3%(62건), ‘청약철회 거부’가 42.7%(61건)였다. 특히 
계약 관련 피해는 올해 9월 기준 전년 동기 대비 50.0%(34건→51건) 증가했다. 품질 관련 피해는 액정 및 작동 불량이 많아 품질 관련 피해는 액정의 파손이나 잔상 등 ‘액정 불량’이 44.9%(70건)로 가장 많았으며, 이어서 전원 미작동이나 반"&amp;"복 부팅 등 
‘작동 불량’ 32.0%(50건), 배터리 방전이나 충전 불량 등 ‘배터리 불량’ 6.4%(10건), ‘통화품질 불량’ 5.1%(8건) 
등의 순이었다. 그 밖에 흠집·변색 등 ‘외관 불량’이나 ‘카메라 불량’ 등과 관련한 피해도 있었다. 그럼에도 중고 스마트폰 관련 
피해구제 신청 사건 중 소비자가 배상, 수리, 환급 등을 받아 처리된 경우는 43.0%(147건)에 그쳤다. 한편 중고 스마트폰 관련 피해구제 신청 총 349건 중 피해 연"&amp;"령별로는 ‘20~40대’가 76.7%(257건)로 큰 비중을 차지했고, 
특히 40대의 비중은 28.0%(94건)로 가장 높았다. 거래유형은 전자상거래가 61.6%(215건)로 가장 많았으며, 평균 구입 
금액은 약 50만 원이었다. 제품 종류가 확인된 306건 중에서는 ‘갤럭시’가 67.3%(206건), ‘아이폰’ 30.4%(93건), 
기타 2.3%(7건)인 것으로 나타났다. 한국소비자원은 최근 급증한 중고 스마트폰 피해의 확산 방지를 위해 「전자상"&amp;"거래 등에서의 소비자보호에 관한 법률」* 등 관련 법 위반 사업자와 위법 행위를 관할 지자체에 통보하고 시정을 요구한 상태다. * 제15조(재화등의 공급 등), 제17조(청약철회등) 및 제18조(청약철회등의 효과) 등 아울러 소비자들에게 제품 구입 전 ▲사업자 정보 및 제품 후기 등을 참고하여 믿을 만한 판매자인지 확인할 것, ▲제품의 출시연월, 
품질, 색상 등 상세 정보를 자세히 살펴볼 것, ▲가급적 현금보다는 신용카드로 결제할 것 등을 당부했다. "&amp;"제품 수령 후에는 ▲하자 유무 
및 외관 상태를 꼼꼼하게 확인할 것, ▲사용 직후 이상이 생겨 반품이 필요한 경우를 대비해 제품을 조심스럽게 다룰 것 등을 강조했다. 자세한 사항은 첨부 파일을 참조하시기 바랍니다. 피해발생 문의처   1372소비자상담센터 http://www.ccn.go.kr""&gt; : 국번없이 1372 한국소비자원 
http://www.kca.go.kr""&gt;     서울강원지원 정보통신팀 팀장 이찬향 TEL. 02-3460-3141 / "&amp;"대리 이혜정 TEL. 02-3460-3149 ")</f>
        <v>소비자와 함께하는 피해예방주의보 “중고 스마트폰, 최근 미배송 등 소비자피해 급증” 최근 온라인 상에서 중고폰 전문 판매업자를 통해 스마트폰을 구입한 후 배송받지 못하는 피해가 증가하고 있다. 올해 한국소비자원(원장 
윤수현)에 접수된 중고 스마트폰 관련 피해구제 신청은 월 10여 건 안팎이었으나, 9월부터 급증하기 시작해 11월(17일기준)에는 
53건으로 8월 대비 4.4배 급증해 소비자들의 주의가 필요하다. * (’25년 월별 피해구제 신청 현황) 1~6월 70건→7월 9건→8월 12건→9월 22건→10월 33건→11월(~17일) 53건 최근 3년간(’22년~’25년 9월) 한국소비자원에 접수된 중고 스마트폰 관련 피해구제 신청은 총 349건으로 매년 증가하는 것으로 
나타났다. 피해구제 신청이유를 분석한 결과, ‘품질’이 44.7%(156건), ‘계약’이 41.0%(143건)를 차지했다. * (연도별 피해구제 신청 현황) ’22년 42건 →’23년 78건 →’24년 116건(1월~9월 86건) →’25년 1월~9월 113건 제품 미배송 등계약 관련 피해 급증 ‘계약’ 관련 세부 유형별로 제품 미배송 등 ‘계약불이행’이 43.3%(62건), ‘청약철회 거부’가 42.7%(61건)였다. 특히 
계약 관련 피해는 올해 9월 기준 전년 동기 대비 50.0%(34건→51건) 증가했다. 품질 관련 피해는 액정 및 작동 불량이 많아 품질 관련 피해는 액정의 파손이나 잔상 등 ‘액정 불량’이 44.9%(70건)로 가장 많았으며, 이어서 전원 미작동이나 반복 부팅 등 
‘작동 불량’ 32.0%(50건), 배터리 방전이나 충전 불량 등 ‘배터리 불량’ 6.4%(10건), ‘통화품질 불량’ 5.1%(8건) 
등의 순이었다. 그 밖에 흠집·변색 등 ‘외관 불량’이나 ‘카메라 불량’ 등과 관련한 피해도 있었다. 그럼에도 중고 스마트폰 관련 
피해구제 신청 사건 중 소비자가 배상, 수리, 환급 등을 받아 처리된 경우는 43.0%(147건)에 그쳤다. 한편 중고 스마트폰 관련 피해구제 신청 총 349건 중 피해 연령별로는 ‘20~40대’가 76.7%(257건)로 큰 비중을 차지했고, 
특히 40대의 비중은 28.0%(94건)로 가장 높았다. 거래유형은 전자상거래가 61.6%(215건)로 가장 많았으며, 평균 구입 
금액은 약 50만 원이었다. 제품 종류가 확인된 306건 중에서는 ‘갤럭시’가 67.3%(206건), ‘아이폰’ 30.4%(93건), 
기타 2.3%(7건)인 것으로 나타났다. 한국소비자원은 최근 급증한 중고 스마트폰 피해의 확산 방지를 위해 「전자상거래 등에서의 소비자보호에 관한 법률」* 등 관련 법 위반 사업자와 위법 행위를 관할 지자체에 통보하고 시정을 요구한 상태다. * 제15조(재화등의 공급 등), 제17조(청약철회등) 및 제18조(청약철회등의 효과) 등 아울러 소비자들에게 제품 구입 전 ▲사업자 정보 및 제품 후기 등을 참고하여 믿을 만한 판매자인지 확인할 것, ▲제품의 출시연월, 
품질, 색상 등 상세 정보를 자세히 살펴볼 것, ▲가급적 현금보다는 신용카드로 결제할 것 등을 당부했다. 제품 수령 후에는 ▲하자 유무 
및 외관 상태를 꼼꼼하게 확인할 것, ▲사용 직후 이상이 생겨 반품이 필요한 경우를 대비해 제품을 조심스럽게 다룰 것 등을 강조했다. 자세한 사항은 첨부 파일을 참조하시기 바랍니다. 피해발생 문의처   1372소비자상담센터 http://www.ccn.go.kr"&gt; : 국번없이 1372 한국소비자원 
http://www.kca.go.kr"&gt;     서울강원지원 정보통신팀 팀장 이찬향 TEL. 02-3460-3141 / 대리 이혜정 TEL. 02-3460-3149 </v>
      </c>
    </row>
    <row r="21">
      <c r="D21" s="3" t="str">
        <f>IFERROR(__xludf.DUMMYFUNCTION("""COMPUTED_VALUE"""),"서울시 헬스장 피해 증가... ""환불 규정 꼭 확인하세요!""")</f>
        <v>서울시 헬스장 피해 증가... "환불 규정 꼭 확인하세요!"</v>
      </c>
      <c r="E21" s="3" t="str">
        <f>IFERROR(__xludf.DUMMYFUNCTION("""COMPUTED_VALUE"""),"?menukey=4005&amp;mode=view&amp;no=1003959737")</f>
        <v>?menukey=4005&amp;mode=view&amp;no=1003959737</v>
      </c>
      <c r="F21" s="3" t="str">
        <f>IFERROR(__xludf.DUMMYFUNCTION("TEXTJOIN("" "", TRUE, IMPORTXML(""https://www.kca.go.kr/home/sub.do""&amp;E21, ""//*[@id='view_wrap']""))"),"소비자와 함께하는 피해예방주의보 “서울시 헬스장 피해 증가...”환불 규정 꼭 확인하세요!“” - 피해 저감 위해 한국소비자원-서울시 협력 강화 - 한국소비자원(원장 윤수현)이 서울시와 함께 헬스장 피해예방주의보를 발령했다. 한국소비자원 분석 결과, 서울시는 전국에서 실내 체육시설 
관련 소비자 피해가 가장 많이 발생하는 도시*로, 특히 헬스장 관련 피해가 대다수를 차지하는 것으로 나타났다. * 최근 3년(’22~’25.6)간 실내체육시설(헬스장·필라테"&amp;"스·요가) 관련 피해구제 신청 건수(14,857건) 중 서울시 발생 건수는 
33.4%(4,967건)임. 서울시 실내 체육시설 피해, 헬스장이 73.8%로 가장 많아 서울시 관련 실내 체육시설 피해구제 신청 건수는 해마다 증가 추세*로, 올해는 전년 대비 10.7%(78건) 증가했다. * 연도별: (’21년) 132건 → (’22년) 109건 → (’23년) 127건 → (’24년) 136건 → (’25년 7월) 80건 품목으로는 헬스장 피해가 73.8"&amp;"%(3,668건)로 가장 많았고, 이어서 필라테스 20.6%(1,022건), 요가 5.6%(277건) 
순이었다. 피해구제 신청이유는 계약해지·위약금 등 계약 관련이 97.5%(4,843건)로 대부분을 차지했다. 특히 중도해지 시 환급액 산정 기준을 
정상가로 할 것인지, 할인가로 할 것인지를 두고 당사자 간 의견 차이가 커 분쟁으로 이어진 사례가 많았다. 신유형 헬스장 구독서비스 피해 증가 해마다 늘고 있는 헬스장 구독서비스* 피해 역시 최근 3년간 "&amp;"절반 이상(78건)**이 서울시에서 발생한 것으로 나타났다. 특히 올해 상반기 발생 건수는 총 35건으로 전년 동기 대비 218.2% 증가했다. 신청이유별로는 ‘자동결제 사실 미고지’가 48.7%(38건)로 가장 많았으며, 이어서 ‘계약해지 시 환급거부’ 25.6%(20건), 
‘계약해지 기능 부재’ 10.3%(8건) 순으로 나타났다. * 모바일 앱에 카드를 등록하면 매월 정해진 날짜에 월 이용료가 자동결제되는 서비스 ** (서울시 헬스장 구독서비스 피"&amp;"해) ’22년 5건 → ’23년 8건 → ’24년 30건(상반기 11건) → ’25년 상반기 35건 소비자피해 감축 위해 서울시와 공동 대응 강화 한국소비자원은 서울시 등 지자체와 함께 체육시설 피해 예방을 위한 협력 체계를 운영하고 있다. 올해 상반기에만 서울시 소재 법 위반 
사업자에 69건의 위법 사실을 통보해 환급으로 이어지는 성과를 거뒀다. 한국소비자원은 앞으로 서울시와 피해 다발 사업자에 대한 정보공유 
및 교육을 강화하는 한편, 구독형 헬스"&amp;"장에서의 계약해지 방해 등 위법 사항 확인을 위한 현장 조사 등 공동 대응을 강화할 계획이다. 소비자들에게는 ▲할인이벤트로 유인하는 장기(다회) 계약에 신중할 것, ▲사업자의 폐업·연락두절 사태 등에 대비하여 20만 원 이상 결제 
시 가급적 신용카드로 3개월 이상 할부 결제할 것, ▲계약체결 시 사업자와 추가 협의한 내용 등은 계약서에 기재하고 환급기준을 확인할 
것, ▲비대면거래로 체결되는 헬스장 구독서비스 이용 시 약관 내용을 꼼꼼하게 확인할 것을"&amp;" 당부했다. 자세한 사항은 첨부 파일을 참조하시기 바랍니다. 피해발생 문의처   1372소비자상담센터 http://www.ccn.go.kr""&gt; : 국번없이 1372 한국소비자원 
http://www.kca.go.kr""&gt;   서울강원지원 문화레저팀 팀장 김진환 TEL. 02-3460-3011 / 과장 이유진 TEL. 02-3460-3013 ")</f>
        <v>소비자와 함께하는 피해예방주의보 “서울시 헬스장 피해 증가...”환불 규정 꼭 확인하세요!“” - 피해 저감 위해 한국소비자원-서울시 협력 강화 - 한국소비자원(원장 윤수현)이 서울시와 함께 헬스장 피해예방주의보를 발령했다. 한국소비자원 분석 결과, 서울시는 전국에서 실내 체육시설 
관련 소비자 피해가 가장 많이 발생하는 도시*로, 특히 헬스장 관련 피해가 대다수를 차지하는 것으로 나타났다. * 최근 3년(’22~’25.6)간 실내체육시설(헬스장·필라테스·요가) 관련 피해구제 신청 건수(14,857건) 중 서울시 발생 건수는 
33.4%(4,967건)임. 서울시 실내 체육시설 피해, 헬스장이 73.8%로 가장 많아 서울시 관련 실내 체육시설 피해구제 신청 건수는 해마다 증가 추세*로, 올해는 전년 대비 10.7%(78건) 증가했다. * 연도별: (’21년) 132건 → (’22년) 109건 → (’23년) 127건 → (’24년) 136건 → (’25년 7월) 80건 품목으로는 헬스장 피해가 73.8%(3,668건)로 가장 많았고, 이어서 필라테스 20.6%(1,022건), 요가 5.6%(277건) 
순이었다. 피해구제 신청이유는 계약해지·위약금 등 계약 관련이 97.5%(4,843건)로 대부분을 차지했다. 특히 중도해지 시 환급액 산정 기준을 
정상가로 할 것인지, 할인가로 할 것인지를 두고 당사자 간 의견 차이가 커 분쟁으로 이어진 사례가 많았다. 신유형 헬스장 구독서비스 피해 증가 해마다 늘고 있는 헬스장 구독서비스* 피해 역시 최근 3년간 절반 이상(78건)**이 서울시에서 발생한 것으로 나타났다. 특히 올해 상반기 발생 건수는 총 35건으로 전년 동기 대비 218.2% 증가했다. 신청이유별로는 ‘자동결제 사실 미고지’가 48.7%(38건)로 가장 많았으며, 이어서 ‘계약해지 시 환급거부’ 25.6%(20건), 
‘계약해지 기능 부재’ 10.3%(8건) 순으로 나타났다. * 모바일 앱에 카드를 등록하면 매월 정해진 날짜에 월 이용료가 자동결제되는 서비스 ** (서울시 헬스장 구독서비스 피해) ’22년 5건 → ’23년 8건 → ’24년 30건(상반기 11건) → ’25년 상반기 35건 소비자피해 감축 위해 서울시와 공동 대응 강화 한국소비자원은 서울시 등 지자체와 함께 체육시설 피해 예방을 위한 협력 체계를 운영하고 있다. 올해 상반기에만 서울시 소재 법 위반 
사업자에 69건의 위법 사실을 통보해 환급으로 이어지는 성과를 거뒀다. 한국소비자원은 앞으로 서울시와 피해 다발 사업자에 대한 정보공유 
및 교육을 강화하는 한편, 구독형 헬스장에서의 계약해지 방해 등 위법 사항 확인을 위한 현장 조사 등 공동 대응을 강화할 계획이다. 소비자들에게는 ▲할인이벤트로 유인하는 장기(다회) 계약에 신중할 것, ▲사업자의 폐업·연락두절 사태 등에 대비하여 20만 원 이상 결제 
시 가급적 신용카드로 3개월 이상 할부 결제할 것, ▲계약체결 시 사업자와 추가 협의한 내용 등은 계약서에 기재하고 환급기준을 확인할 
것, ▲비대면거래로 체결되는 헬스장 구독서비스 이용 시 약관 내용을 꼼꼼하게 확인할 것을 당부했다. 자세한 사항은 첨부 파일을 참조하시기 바랍니다. 피해발생 문의처   1372소비자상담센터 http://www.ccn.go.kr"&gt; : 국번없이 1372 한국소비자원 
http://www.kca.go.kr"&gt;   서울강원지원 문화레저팀 팀장 김진환 TEL. 02-3460-3011 / 과장 이유진 TEL. 02-3460-3013 </v>
      </c>
    </row>
  </sheetData>
  <hyperlinks>
    <hyperlink r:id="rId1" ref="C2"/>
  </hyperlinks>
  <drawing r:id="rId2"/>
</worksheet>
</file>